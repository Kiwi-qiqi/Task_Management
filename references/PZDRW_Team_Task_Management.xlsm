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0144096\Desktop\"/>
    </mc:Choice>
  </mc:AlternateContent>
  <xr:revisionPtr revIDLastSave="0" documentId="13_ncr:1_{03AEEAD1-18E3-4D9B-9A7B-EA0003164503}" xr6:coauthVersionLast="47" xr6:coauthVersionMax="47" xr10:uidLastSave="{00000000-0000-0000-0000-000000000000}"/>
  <bookViews>
    <workbookView xWindow="-108" yWindow="-108" windowWidth="23256" windowHeight="13896" tabRatio="769" activeTab="1" xr2:uid="{00000000-000D-0000-FFFF-FFFF00000000}"/>
  </bookViews>
  <sheets>
    <sheet name="Project Management" sheetId="25" r:id="rId1"/>
    <sheet name="PZDRW Team Members" sheetId="17" r:id="rId2"/>
    <sheet name="E-Compressor" sheetId="16" r:id="rId3"/>
    <sheet name="E-CoolingPump" sheetId="27" r:id="rId4"/>
    <sheet name="E-CoolingFan" sheetId="22" r:id="rId5"/>
    <sheet name="OBC&amp;DCLV" sheetId="24" r:id="rId6"/>
    <sheet name="Bootloader" sheetId="28" r:id="rId7"/>
    <sheet name="Functional Safety" sheetId="29" r:id="rId8"/>
    <sheet name="CyberSecurity" sheetId="30" r:id="rId9"/>
    <sheet name="Toolchain" sheetId="31" r:id="rId10"/>
    <sheet name="Main_Task" sheetId="23" r:id="rId11"/>
    <sheet name="Holidays &amp; Special Days" sheetId="21" state="hidden" r:id="rId12"/>
  </sheets>
  <externalReferences>
    <externalReference r:id="rId13"/>
  </externalReferences>
  <definedNames>
    <definedName name="_xlnm._FilterDatabase" localSheetId="2" hidden="1">'E-Compressor'!$A$4:$H$15</definedName>
    <definedName name="_xlnm._FilterDatabase" localSheetId="4" hidden="1">'E-CoolingFan'!$A$1:$H$6</definedName>
    <definedName name="_xlnm._FilterDatabase" localSheetId="0" hidden="1">'Project Management'!$A$4:$I$5</definedName>
    <definedName name="Display_Week_36CC_Platform">'E-CoolingFan'!$H$2</definedName>
    <definedName name="Display_Week_E_Comp">'[1]E-Compressor'!$H$2</definedName>
    <definedName name="Display_Week_E_Pump">'[1]E-CoolingPump'!$H$2</definedName>
    <definedName name="Display_Week_Honda28M">'E-Compressor'!$H$2</definedName>
    <definedName name="Display_Week_Non_Project">Main_Task!$H$2</definedName>
    <definedName name="Display_Week_VW_IMP21">'OBC&amp;DCLV'!$H$2</definedName>
    <definedName name="Holiday_Dates" localSheetId="0">'[1]Holidays &amp; Special Days'!$A$3:$A$46</definedName>
    <definedName name="Holiday_Dates">'Holidays &amp; Special Days'!$A$3:$A$46</definedName>
    <definedName name="Owner">'PZDRW Team Members'!$E$18</definedName>
    <definedName name="Project_Start" localSheetId="0">'[1]E-Compressor'!$H$3</definedName>
    <definedName name="Project_Start">'E-Compressor'!$H$3</definedName>
    <definedName name="Special_Workdays" localSheetId="0">'[1]Holidays &amp; Special Days'!$B$3:$B$44</definedName>
    <definedName name="Special_Workdays">'Holidays &amp; Special Days'!$B$3:$B$44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6" l="1"/>
  <c r="D14" i="16"/>
  <c r="D13" i="16"/>
  <c r="D12" i="16"/>
  <c r="D11" i="16"/>
  <c r="D10" i="16"/>
  <c r="D9" i="16"/>
  <c r="D8" i="16"/>
  <c r="D7" i="16"/>
  <c r="D6" i="16"/>
  <c r="D454" i="31"/>
  <c r="D453" i="31"/>
  <c r="D452" i="31"/>
  <c r="D451" i="31"/>
  <c r="D450" i="31"/>
  <c r="D449" i="31"/>
  <c r="D448" i="31"/>
  <c r="D447" i="31"/>
  <c r="D446" i="31"/>
  <c r="D445" i="31"/>
  <c r="D444" i="31"/>
  <c r="D443" i="31"/>
  <c r="D442" i="31"/>
  <c r="D441" i="31"/>
  <c r="D440" i="31"/>
  <c r="D439" i="31"/>
  <c r="D438" i="31"/>
  <c r="D437" i="31"/>
  <c r="D436" i="31"/>
  <c r="D435" i="31"/>
  <c r="D434" i="31"/>
  <c r="D433" i="31"/>
  <c r="D432" i="31"/>
  <c r="D431" i="31"/>
  <c r="D430" i="31"/>
  <c r="D429" i="31"/>
  <c r="D428" i="31"/>
  <c r="D427" i="31"/>
  <c r="D426" i="31"/>
  <c r="D425" i="31"/>
  <c r="D424" i="31"/>
  <c r="D423" i="31"/>
  <c r="D422" i="31"/>
  <c r="D421" i="31"/>
  <c r="D420" i="31"/>
  <c r="D419" i="31"/>
  <c r="D418" i="31"/>
  <c r="D417" i="31"/>
  <c r="D416" i="31"/>
  <c r="D415" i="31"/>
  <c r="D414" i="31"/>
  <c r="D413" i="31"/>
  <c r="D412" i="31"/>
  <c r="D411" i="31"/>
  <c r="D410" i="31"/>
  <c r="D409" i="31"/>
  <c r="D408" i="31"/>
  <c r="D407" i="31"/>
  <c r="D406" i="31"/>
  <c r="D405" i="31"/>
  <c r="D404" i="31"/>
  <c r="D403" i="31"/>
  <c r="D402" i="31"/>
  <c r="D401" i="31"/>
  <c r="D400" i="31"/>
  <c r="D399" i="31"/>
  <c r="D398" i="31"/>
  <c r="D397" i="31"/>
  <c r="D396" i="31"/>
  <c r="D395" i="31"/>
  <c r="D394" i="31"/>
  <c r="D393" i="31"/>
  <c r="D392" i="31"/>
  <c r="D391" i="31"/>
  <c r="D390" i="31"/>
  <c r="D389" i="31"/>
  <c r="D388" i="31"/>
  <c r="D387" i="31"/>
  <c r="D386" i="31"/>
  <c r="D385" i="31"/>
  <c r="D384" i="31"/>
  <c r="D383" i="31"/>
  <c r="D382" i="31"/>
  <c r="D381" i="31"/>
  <c r="D380" i="31"/>
  <c r="D379" i="31"/>
  <c r="D378" i="31"/>
  <c r="D377" i="31"/>
  <c r="D376" i="31"/>
  <c r="D375" i="31"/>
  <c r="D374" i="31"/>
  <c r="D373" i="31"/>
  <c r="D372" i="31"/>
  <c r="D371" i="31"/>
  <c r="D370" i="31"/>
  <c r="D369" i="31"/>
  <c r="D368" i="31"/>
  <c r="D367" i="31"/>
  <c r="D366" i="31"/>
  <c r="D365" i="31"/>
  <c r="D364" i="31"/>
  <c r="D363" i="31"/>
  <c r="D362" i="31"/>
  <c r="D361" i="31"/>
  <c r="D360" i="31"/>
  <c r="D359" i="31"/>
  <c r="D358" i="31"/>
  <c r="D357" i="31"/>
  <c r="D356" i="31"/>
  <c r="D355" i="31"/>
  <c r="D354" i="31"/>
  <c r="D353" i="31"/>
  <c r="D352" i="31"/>
  <c r="D351" i="31"/>
  <c r="D350" i="31"/>
  <c r="D349" i="31"/>
  <c r="D348" i="31"/>
  <c r="D347" i="31"/>
  <c r="D346" i="31"/>
  <c r="D345" i="31"/>
  <c r="D344" i="31"/>
  <c r="D343" i="31"/>
  <c r="D342" i="31"/>
  <c r="D341" i="31"/>
  <c r="D340" i="31"/>
  <c r="D339" i="31"/>
  <c r="D338" i="31"/>
  <c r="D337" i="31"/>
  <c r="D336" i="31"/>
  <c r="D335" i="31"/>
  <c r="D334" i="31"/>
  <c r="D333" i="31"/>
  <c r="D332" i="31"/>
  <c r="D331" i="31"/>
  <c r="D330" i="31"/>
  <c r="D329" i="31"/>
  <c r="D328" i="31"/>
  <c r="D327" i="31"/>
  <c r="D326" i="31"/>
  <c r="D325" i="31"/>
  <c r="D324" i="31"/>
  <c r="D323" i="31"/>
  <c r="D322" i="31"/>
  <c r="D321" i="31"/>
  <c r="D320" i="31"/>
  <c r="D319" i="31"/>
  <c r="D318" i="31"/>
  <c r="D317" i="31"/>
  <c r="D316" i="31"/>
  <c r="D315" i="31"/>
  <c r="D314" i="31"/>
  <c r="D313" i="31"/>
  <c r="D312" i="31"/>
  <c r="D311" i="31"/>
  <c r="D310" i="31"/>
  <c r="D309" i="31"/>
  <c r="D308" i="31"/>
  <c r="D307" i="31"/>
  <c r="D306" i="31"/>
  <c r="D305" i="31"/>
  <c r="D304" i="31"/>
  <c r="D303" i="31"/>
  <c r="D302" i="31"/>
  <c r="D301" i="31"/>
  <c r="D300" i="31"/>
  <c r="D299" i="31"/>
  <c r="D298" i="31"/>
  <c r="D297" i="31"/>
  <c r="D296" i="31"/>
  <c r="D295" i="31"/>
  <c r="D294" i="31"/>
  <c r="D293" i="31"/>
  <c r="D292" i="31"/>
  <c r="D291" i="31"/>
  <c r="D290" i="31"/>
  <c r="D289" i="31"/>
  <c r="D288" i="31"/>
  <c r="D287" i="31"/>
  <c r="D286" i="31"/>
  <c r="D285" i="31"/>
  <c r="D284" i="31"/>
  <c r="D283" i="31"/>
  <c r="D282" i="31"/>
  <c r="D281" i="31"/>
  <c r="D280" i="31"/>
  <c r="D279" i="31"/>
  <c r="D278" i="31"/>
  <c r="D277" i="31"/>
  <c r="D276" i="31"/>
  <c r="D275" i="31"/>
  <c r="D274" i="31"/>
  <c r="D273" i="31"/>
  <c r="D272" i="31"/>
  <c r="D271" i="31"/>
  <c r="D270" i="31"/>
  <c r="D269" i="31"/>
  <c r="D268" i="31"/>
  <c r="D267" i="31"/>
  <c r="D266" i="31"/>
  <c r="D265" i="31"/>
  <c r="D264" i="31"/>
  <c r="D263" i="31"/>
  <c r="D262" i="31"/>
  <c r="D261" i="31"/>
  <c r="D260" i="31"/>
  <c r="D259" i="31"/>
  <c r="D258" i="31"/>
  <c r="D257" i="31"/>
  <c r="D256" i="31"/>
  <c r="D255" i="31"/>
  <c r="D254" i="31"/>
  <c r="D253" i="31"/>
  <c r="D252" i="31"/>
  <c r="D251" i="31"/>
  <c r="D250" i="31"/>
  <c r="D249" i="31"/>
  <c r="D248" i="31"/>
  <c r="D247" i="31"/>
  <c r="D246" i="31"/>
  <c r="D245" i="31"/>
  <c r="D244" i="31"/>
  <c r="D243" i="31"/>
  <c r="D242" i="31"/>
  <c r="D241" i="31"/>
  <c r="D240" i="31"/>
  <c r="D239" i="31"/>
  <c r="D238" i="31"/>
  <c r="D237" i="31"/>
  <c r="D236" i="31"/>
  <c r="D235" i="31"/>
  <c r="D234" i="31"/>
  <c r="D233" i="31"/>
  <c r="D232" i="31"/>
  <c r="D231" i="31"/>
  <c r="D230" i="31"/>
  <c r="D229" i="31"/>
  <c r="D228" i="31"/>
  <c r="D227" i="31"/>
  <c r="D226" i="31"/>
  <c r="D225" i="31"/>
  <c r="D224" i="31"/>
  <c r="D223" i="31"/>
  <c r="D222" i="31"/>
  <c r="D221" i="31"/>
  <c r="D220" i="31"/>
  <c r="D219" i="31"/>
  <c r="D218" i="31"/>
  <c r="D217" i="31"/>
  <c r="D216" i="31"/>
  <c r="D215" i="31"/>
  <c r="D214" i="31"/>
  <c r="D213" i="31"/>
  <c r="D212" i="31"/>
  <c r="D211" i="31"/>
  <c r="D210" i="31"/>
  <c r="D209" i="31"/>
  <c r="D208" i="31"/>
  <c r="D207" i="31"/>
  <c r="D206" i="31"/>
  <c r="D205" i="31"/>
  <c r="D204" i="31"/>
  <c r="D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J3" i="31"/>
  <c r="K3" i="31" s="1"/>
  <c r="D454" i="30"/>
  <c r="D453" i="30"/>
  <c r="D452" i="30"/>
  <c r="D451" i="30"/>
  <c r="D450" i="30"/>
  <c r="D449" i="30"/>
  <c r="D448" i="30"/>
  <c r="D447" i="30"/>
  <c r="D446" i="30"/>
  <c r="D445" i="30"/>
  <c r="D444" i="30"/>
  <c r="D443" i="30"/>
  <c r="D442" i="30"/>
  <c r="D441" i="30"/>
  <c r="D440" i="30"/>
  <c r="D439" i="30"/>
  <c r="D438" i="30"/>
  <c r="D437" i="30"/>
  <c r="D436" i="30"/>
  <c r="D435" i="30"/>
  <c r="D434" i="30"/>
  <c r="D433" i="30"/>
  <c r="D432" i="30"/>
  <c r="D431" i="30"/>
  <c r="D430" i="30"/>
  <c r="D429" i="30"/>
  <c r="D428" i="30"/>
  <c r="D427" i="30"/>
  <c r="D426" i="30"/>
  <c r="D425" i="30"/>
  <c r="D424" i="30"/>
  <c r="D423" i="30"/>
  <c r="D422" i="30"/>
  <c r="D421" i="30"/>
  <c r="D420" i="30"/>
  <c r="D419" i="30"/>
  <c r="D418" i="30"/>
  <c r="D417" i="30"/>
  <c r="D416" i="30"/>
  <c r="D415" i="30"/>
  <c r="D414" i="30"/>
  <c r="D413" i="30"/>
  <c r="D412" i="30"/>
  <c r="D411" i="30"/>
  <c r="D410" i="30"/>
  <c r="D409" i="30"/>
  <c r="D408" i="30"/>
  <c r="D407" i="30"/>
  <c r="D406" i="30"/>
  <c r="D405" i="30"/>
  <c r="D404" i="30"/>
  <c r="D403" i="30"/>
  <c r="D402" i="30"/>
  <c r="D401" i="30"/>
  <c r="D400" i="30"/>
  <c r="D399" i="30"/>
  <c r="D398" i="30"/>
  <c r="D397" i="30"/>
  <c r="D396" i="30"/>
  <c r="D395" i="30"/>
  <c r="D394" i="30"/>
  <c r="D393" i="30"/>
  <c r="D392" i="30"/>
  <c r="D391" i="30"/>
  <c r="D390" i="30"/>
  <c r="D389" i="30"/>
  <c r="D388" i="30"/>
  <c r="D387" i="30"/>
  <c r="D386" i="30"/>
  <c r="D385" i="30"/>
  <c r="D384" i="30"/>
  <c r="D383" i="30"/>
  <c r="D382" i="30"/>
  <c r="D381" i="30"/>
  <c r="D380" i="30"/>
  <c r="D379" i="30"/>
  <c r="D378" i="30"/>
  <c r="D377" i="30"/>
  <c r="D376" i="30"/>
  <c r="D375" i="30"/>
  <c r="D374" i="30"/>
  <c r="D373" i="30"/>
  <c r="D372" i="30"/>
  <c r="D371" i="30"/>
  <c r="D370" i="30"/>
  <c r="D369" i="30"/>
  <c r="D368" i="30"/>
  <c r="D367" i="30"/>
  <c r="D366" i="30"/>
  <c r="D365" i="30"/>
  <c r="D364" i="30"/>
  <c r="D363" i="30"/>
  <c r="D362" i="30"/>
  <c r="D361" i="30"/>
  <c r="D360" i="30"/>
  <c r="D359" i="30"/>
  <c r="D358" i="30"/>
  <c r="D357" i="30"/>
  <c r="D356" i="30"/>
  <c r="D355" i="30"/>
  <c r="D354" i="30"/>
  <c r="D353" i="30"/>
  <c r="D352" i="30"/>
  <c r="D351" i="30"/>
  <c r="D350" i="30"/>
  <c r="D349" i="30"/>
  <c r="D348" i="30"/>
  <c r="D347" i="30"/>
  <c r="D346" i="30"/>
  <c r="D345" i="30"/>
  <c r="D344" i="30"/>
  <c r="D343" i="30"/>
  <c r="D342" i="30"/>
  <c r="D341" i="30"/>
  <c r="D340" i="30"/>
  <c r="D339" i="30"/>
  <c r="D338" i="30"/>
  <c r="D337" i="30"/>
  <c r="D336" i="30"/>
  <c r="D335" i="30"/>
  <c r="D334" i="30"/>
  <c r="D333" i="30"/>
  <c r="D332" i="30"/>
  <c r="D331" i="30"/>
  <c r="D330" i="30"/>
  <c r="D329" i="30"/>
  <c r="D328" i="30"/>
  <c r="D327" i="30"/>
  <c r="D326" i="30"/>
  <c r="D325" i="30"/>
  <c r="D324" i="30"/>
  <c r="D323" i="30"/>
  <c r="D322" i="30"/>
  <c r="D321" i="30"/>
  <c r="D320" i="30"/>
  <c r="D319" i="30"/>
  <c r="D318" i="30"/>
  <c r="D317" i="30"/>
  <c r="D316" i="30"/>
  <c r="D315" i="30"/>
  <c r="D314" i="30"/>
  <c r="D313" i="30"/>
  <c r="D312" i="30"/>
  <c r="D311" i="30"/>
  <c r="D310" i="30"/>
  <c r="D309" i="30"/>
  <c r="D308" i="30"/>
  <c r="D307" i="30"/>
  <c r="D306" i="30"/>
  <c r="D305" i="30"/>
  <c r="D304" i="30"/>
  <c r="D303" i="30"/>
  <c r="D302" i="30"/>
  <c r="D301" i="30"/>
  <c r="D300" i="30"/>
  <c r="D299" i="30"/>
  <c r="D298" i="30"/>
  <c r="D297" i="30"/>
  <c r="D296" i="30"/>
  <c r="D295" i="30"/>
  <c r="D294" i="30"/>
  <c r="D293" i="30"/>
  <c r="D292" i="30"/>
  <c r="D291" i="30"/>
  <c r="D290" i="30"/>
  <c r="D289" i="30"/>
  <c r="D288" i="30"/>
  <c r="D287" i="30"/>
  <c r="D286" i="30"/>
  <c r="D285" i="30"/>
  <c r="D284" i="30"/>
  <c r="D283" i="30"/>
  <c r="D282" i="30"/>
  <c r="D281" i="30"/>
  <c r="D280" i="30"/>
  <c r="D279" i="30"/>
  <c r="D278" i="30"/>
  <c r="D277" i="30"/>
  <c r="D276" i="30"/>
  <c r="D275" i="30"/>
  <c r="D274" i="30"/>
  <c r="D273" i="30"/>
  <c r="D272" i="30"/>
  <c r="D271" i="30"/>
  <c r="D270" i="30"/>
  <c r="D269" i="30"/>
  <c r="D268" i="30"/>
  <c r="D267" i="30"/>
  <c r="D266" i="30"/>
  <c r="D265" i="30"/>
  <c r="D264" i="30"/>
  <c r="D263" i="30"/>
  <c r="D262" i="30"/>
  <c r="D261" i="30"/>
  <c r="D260" i="30"/>
  <c r="D259" i="30"/>
  <c r="D258" i="30"/>
  <c r="D257" i="30"/>
  <c r="D256" i="30"/>
  <c r="D255" i="30"/>
  <c r="D254" i="30"/>
  <c r="D253" i="30"/>
  <c r="D252" i="30"/>
  <c r="D251" i="30"/>
  <c r="D250" i="30"/>
  <c r="D249" i="30"/>
  <c r="D248" i="30"/>
  <c r="D247" i="30"/>
  <c r="D246" i="30"/>
  <c r="D245" i="30"/>
  <c r="D244" i="30"/>
  <c r="D243" i="30"/>
  <c r="D242" i="30"/>
  <c r="D241" i="30"/>
  <c r="D240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57" i="30"/>
  <c r="D156" i="30"/>
  <c r="D155" i="30"/>
  <c r="D154" i="30"/>
  <c r="D153" i="30"/>
  <c r="D152" i="30"/>
  <c r="D151" i="30"/>
  <c r="D150" i="30"/>
  <c r="D149" i="30"/>
  <c r="D148" i="30"/>
  <c r="D147" i="30"/>
  <c r="D146" i="30"/>
  <c r="D145" i="30"/>
  <c r="D144" i="30"/>
  <c r="D143" i="30"/>
  <c r="D142" i="30"/>
  <c r="D141" i="30"/>
  <c r="D140" i="30"/>
  <c r="D139" i="30"/>
  <c r="D138" i="30"/>
  <c r="D137" i="30"/>
  <c r="D136" i="30"/>
  <c r="D135" i="30"/>
  <c r="D134" i="30"/>
  <c r="D133" i="30"/>
  <c r="D132" i="30"/>
  <c r="D131" i="30"/>
  <c r="D130" i="30"/>
  <c r="D129" i="30"/>
  <c r="D128" i="30"/>
  <c r="D127" i="30"/>
  <c r="D126" i="30"/>
  <c r="D125" i="30"/>
  <c r="D124" i="30"/>
  <c r="D123" i="30"/>
  <c r="D122" i="30"/>
  <c r="D121" i="30"/>
  <c r="D120" i="30"/>
  <c r="D119" i="30"/>
  <c r="D118" i="30"/>
  <c r="D117" i="30"/>
  <c r="D116" i="30"/>
  <c r="D115" i="30"/>
  <c r="D114" i="30"/>
  <c r="D113" i="30"/>
  <c r="D112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J3" i="30"/>
  <c r="J4" i="30" s="1"/>
  <c r="D454" i="29"/>
  <c r="D453" i="29"/>
  <c r="D452" i="29"/>
  <c r="D451" i="29"/>
  <c r="D450" i="29"/>
  <c r="D449" i="29"/>
  <c r="D448" i="29"/>
  <c r="D447" i="29"/>
  <c r="D446" i="29"/>
  <c r="D445" i="29"/>
  <c r="D444" i="29"/>
  <c r="D443" i="29"/>
  <c r="D442" i="29"/>
  <c r="D441" i="29"/>
  <c r="D440" i="29"/>
  <c r="D439" i="29"/>
  <c r="D438" i="29"/>
  <c r="D437" i="29"/>
  <c r="D436" i="29"/>
  <c r="D435" i="29"/>
  <c r="D434" i="29"/>
  <c r="D433" i="29"/>
  <c r="D432" i="29"/>
  <c r="D431" i="29"/>
  <c r="D430" i="29"/>
  <c r="D429" i="29"/>
  <c r="D428" i="29"/>
  <c r="D427" i="29"/>
  <c r="D426" i="29"/>
  <c r="D425" i="29"/>
  <c r="D424" i="29"/>
  <c r="D423" i="29"/>
  <c r="D422" i="29"/>
  <c r="D421" i="29"/>
  <c r="D420" i="29"/>
  <c r="D419" i="29"/>
  <c r="D418" i="29"/>
  <c r="D417" i="29"/>
  <c r="D416" i="29"/>
  <c r="D415" i="29"/>
  <c r="D414" i="29"/>
  <c r="D413" i="29"/>
  <c r="D412" i="29"/>
  <c r="D411" i="29"/>
  <c r="D410" i="29"/>
  <c r="D409" i="29"/>
  <c r="D408" i="29"/>
  <c r="D407" i="29"/>
  <c r="D406" i="29"/>
  <c r="D405" i="29"/>
  <c r="D404" i="29"/>
  <c r="D403" i="29"/>
  <c r="D402" i="29"/>
  <c r="D401" i="29"/>
  <c r="D400" i="29"/>
  <c r="D399" i="29"/>
  <c r="D398" i="29"/>
  <c r="D397" i="29"/>
  <c r="D396" i="29"/>
  <c r="D395" i="29"/>
  <c r="D394" i="29"/>
  <c r="D393" i="29"/>
  <c r="D392" i="29"/>
  <c r="D391" i="29"/>
  <c r="D390" i="29"/>
  <c r="D389" i="29"/>
  <c r="D388" i="29"/>
  <c r="D387" i="29"/>
  <c r="D386" i="29"/>
  <c r="D385" i="29"/>
  <c r="D384" i="29"/>
  <c r="D383" i="29"/>
  <c r="D382" i="29"/>
  <c r="D381" i="29"/>
  <c r="D380" i="29"/>
  <c r="D379" i="29"/>
  <c r="D378" i="29"/>
  <c r="D377" i="29"/>
  <c r="D376" i="29"/>
  <c r="D375" i="29"/>
  <c r="D374" i="29"/>
  <c r="D373" i="29"/>
  <c r="D372" i="29"/>
  <c r="D371" i="29"/>
  <c r="D370" i="29"/>
  <c r="D369" i="29"/>
  <c r="D368" i="29"/>
  <c r="D367" i="29"/>
  <c r="D366" i="29"/>
  <c r="D365" i="29"/>
  <c r="D364" i="29"/>
  <c r="D363" i="29"/>
  <c r="D362" i="29"/>
  <c r="D361" i="29"/>
  <c r="D360" i="29"/>
  <c r="D359" i="29"/>
  <c r="D358" i="29"/>
  <c r="D357" i="29"/>
  <c r="D356" i="29"/>
  <c r="D355" i="29"/>
  <c r="D354" i="29"/>
  <c r="D353" i="29"/>
  <c r="D352" i="29"/>
  <c r="D351" i="29"/>
  <c r="D350" i="29"/>
  <c r="D349" i="29"/>
  <c r="D348" i="29"/>
  <c r="D347" i="29"/>
  <c r="D346" i="29"/>
  <c r="D345" i="29"/>
  <c r="D344" i="29"/>
  <c r="D343" i="29"/>
  <c r="D342" i="29"/>
  <c r="D341" i="29"/>
  <c r="D340" i="29"/>
  <c r="D339" i="29"/>
  <c r="D338" i="29"/>
  <c r="D337" i="29"/>
  <c r="D336" i="29"/>
  <c r="D335" i="29"/>
  <c r="D334" i="29"/>
  <c r="D333" i="29"/>
  <c r="D332" i="29"/>
  <c r="D331" i="29"/>
  <c r="D330" i="29"/>
  <c r="D329" i="29"/>
  <c r="D328" i="29"/>
  <c r="D327" i="29"/>
  <c r="D326" i="29"/>
  <c r="D325" i="29"/>
  <c r="D324" i="29"/>
  <c r="D323" i="29"/>
  <c r="D322" i="29"/>
  <c r="D321" i="29"/>
  <c r="D320" i="29"/>
  <c r="D319" i="29"/>
  <c r="D318" i="29"/>
  <c r="D317" i="29"/>
  <c r="D316" i="29"/>
  <c r="D315" i="29"/>
  <c r="D314" i="29"/>
  <c r="D313" i="29"/>
  <c r="D312" i="29"/>
  <c r="D311" i="29"/>
  <c r="D310" i="29"/>
  <c r="D309" i="29"/>
  <c r="D308" i="29"/>
  <c r="D307" i="29"/>
  <c r="D306" i="29"/>
  <c r="D305" i="29"/>
  <c r="D304" i="29"/>
  <c r="D303" i="29"/>
  <c r="D302" i="29"/>
  <c r="D301" i="29"/>
  <c r="D300" i="29"/>
  <c r="D299" i="29"/>
  <c r="D298" i="29"/>
  <c r="D297" i="29"/>
  <c r="D296" i="29"/>
  <c r="D295" i="29"/>
  <c r="D294" i="29"/>
  <c r="D293" i="29"/>
  <c r="D292" i="29"/>
  <c r="D291" i="29"/>
  <c r="D290" i="29"/>
  <c r="D289" i="29"/>
  <c r="D288" i="29"/>
  <c r="D287" i="29"/>
  <c r="D286" i="29"/>
  <c r="D285" i="29"/>
  <c r="D284" i="29"/>
  <c r="D283" i="29"/>
  <c r="D282" i="29"/>
  <c r="D281" i="29"/>
  <c r="D280" i="29"/>
  <c r="D279" i="29"/>
  <c r="D278" i="29"/>
  <c r="D277" i="29"/>
  <c r="D276" i="29"/>
  <c r="D275" i="29"/>
  <c r="D274" i="29"/>
  <c r="D273" i="29"/>
  <c r="D272" i="29"/>
  <c r="D271" i="29"/>
  <c r="D270" i="29"/>
  <c r="D269" i="29"/>
  <c r="D268" i="29"/>
  <c r="D267" i="29"/>
  <c r="D266" i="29"/>
  <c r="D265" i="29"/>
  <c r="D264" i="29"/>
  <c r="D263" i="29"/>
  <c r="D262" i="29"/>
  <c r="D261" i="29"/>
  <c r="D260" i="29"/>
  <c r="D259" i="29"/>
  <c r="D258" i="29"/>
  <c r="D257" i="29"/>
  <c r="D256" i="29"/>
  <c r="D255" i="29"/>
  <c r="D254" i="29"/>
  <c r="D253" i="29"/>
  <c r="D252" i="29"/>
  <c r="D251" i="29"/>
  <c r="D250" i="29"/>
  <c r="D249" i="29"/>
  <c r="D248" i="29"/>
  <c r="D247" i="29"/>
  <c r="D246" i="29"/>
  <c r="D245" i="29"/>
  <c r="D244" i="29"/>
  <c r="D243" i="29"/>
  <c r="D242" i="29"/>
  <c r="D241" i="29"/>
  <c r="D240" i="29"/>
  <c r="D239" i="29"/>
  <c r="D238" i="29"/>
  <c r="D237" i="29"/>
  <c r="D236" i="29"/>
  <c r="D235" i="29"/>
  <c r="D234" i="29"/>
  <c r="D233" i="29"/>
  <c r="D232" i="29"/>
  <c r="D231" i="29"/>
  <c r="D230" i="29"/>
  <c r="D229" i="29"/>
  <c r="D228" i="29"/>
  <c r="D227" i="29"/>
  <c r="D226" i="29"/>
  <c r="D225" i="29"/>
  <c r="D224" i="29"/>
  <c r="D223" i="29"/>
  <c r="D222" i="29"/>
  <c r="D221" i="29"/>
  <c r="D220" i="29"/>
  <c r="D219" i="29"/>
  <c r="D218" i="29"/>
  <c r="D217" i="29"/>
  <c r="D216" i="29"/>
  <c r="D215" i="29"/>
  <c r="D214" i="29"/>
  <c r="D213" i="29"/>
  <c r="D212" i="29"/>
  <c r="D211" i="29"/>
  <c r="D210" i="29"/>
  <c r="D209" i="29"/>
  <c r="D208" i="29"/>
  <c r="D207" i="29"/>
  <c r="D206" i="29"/>
  <c r="D205" i="29"/>
  <c r="D204" i="29"/>
  <c r="D203" i="29"/>
  <c r="D202" i="29"/>
  <c r="D201" i="29"/>
  <c r="D200" i="29"/>
  <c r="D199" i="29"/>
  <c r="D198" i="29"/>
  <c r="D197" i="29"/>
  <c r="D196" i="29"/>
  <c r="D195" i="29"/>
  <c r="D194" i="29"/>
  <c r="D193" i="29"/>
  <c r="D192" i="29"/>
  <c r="D191" i="29"/>
  <c r="D190" i="29"/>
  <c r="D189" i="29"/>
  <c r="D188" i="29"/>
  <c r="D187" i="29"/>
  <c r="D186" i="29"/>
  <c r="D185" i="29"/>
  <c r="D184" i="29"/>
  <c r="D183" i="29"/>
  <c r="D182" i="29"/>
  <c r="D181" i="29"/>
  <c r="D180" i="29"/>
  <c r="D179" i="29"/>
  <c r="D178" i="29"/>
  <c r="D177" i="29"/>
  <c r="D176" i="29"/>
  <c r="D175" i="29"/>
  <c r="D174" i="29"/>
  <c r="D173" i="29"/>
  <c r="D172" i="29"/>
  <c r="D171" i="29"/>
  <c r="D170" i="29"/>
  <c r="D169" i="29"/>
  <c r="D168" i="29"/>
  <c r="D167" i="29"/>
  <c r="D166" i="29"/>
  <c r="D165" i="29"/>
  <c r="D164" i="29"/>
  <c r="D163" i="29"/>
  <c r="D162" i="29"/>
  <c r="D161" i="29"/>
  <c r="D160" i="29"/>
  <c r="D159" i="29"/>
  <c r="D158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6" i="29"/>
  <c r="J3" i="29"/>
  <c r="K3" i="29" s="1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D159" i="28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J3" i="28"/>
  <c r="J2" i="28" s="1"/>
  <c r="D454" i="27"/>
  <c r="D453" i="27"/>
  <c r="D452" i="27"/>
  <c r="D451" i="27"/>
  <c r="D450" i="27"/>
  <c r="D449" i="27"/>
  <c r="D448" i="27"/>
  <c r="D447" i="27"/>
  <c r="D446" i="27"/>
  <c r="D445" i="27"/>
  <c r="D444" i="27"/>
  <c r="D443" i="27"/>
  <c r="D442" i="27"/>
  <c r="D441" i="27"/>
  <c r="D440" i="27"/>
  <c r="D439" i="27"/>
  <c r="D438" i="27"/>
  <c r="D437" i="27"/>
  <c r="D436" i="27"/>
  <c r="D435" i="27"/>
  <c r="D434" i="27"/>
  <c r="D433" i="27"/>
  <c r="D432" i="27"/>
  <c r="D431" i="27"/>
  <c r="D430" i="27"/>
  <c r="D429" i="27"/>
  <c r="D428" i="27"/>
  <c r="D427" i="27"/>
  <c r="D426" i="27"/>
  <c r="D425" i="27"/>
  <c r="D424" i="27"/>
  <c r="D423" i="27"/>
  <c r="D422" i="27"/>
  <c r="D421" i="27"/>
  <c r="D420" i="27"/>
  <c r="D419" i="27"/>
  <c r="D418" i="27"/>
  <c r="D417" i="27"/>
  <c r="D416" i="27"/>
  <c r="D415" i="27"/>
  <c r="D414" i="27"/>
  <c r="D413" i="27"/>
  <c r="D412" i="27"/>
  <c r="D411" i="27"/>
  <c r="D410" i="27"/>
  <c r="D409" i="27"/>
  <c r="D408" i="27"/>
  <c r="D407" i="27"/>
  <c r="D406" i="27"/>
  <c r="D405" i="27"/>
  <c r="D404" i="27"/>
  <c r="D403" i="27"/>
  <c r="D402" i="27"/>
  <c r="D401" i="27"/>
  <c r="D400" i="27"/>
  <c r="D399" i="27"/>
  <c r="D398" i="27"/>
  <c r="D397" i="27"/>
  <c r="D396" i="27"/>
  <c r="D395" i="27"/>
  <c r="D394" i="27"/>
  <c r="D393" i="27"/>
  <c r="D392" i="27"/>
  <c r="D391" i="27"/>
  <c r="D390" i="27"/>
  <c r="D389" i="27"/>
  <c r="D388" i="27"/>
  <c r="D387" i="27"/>
  <c r="D386" i="27"/>
  <c r="D385" i="27"/>
  <c r="D384" i="27"/>
  <c r="D383" i="27"/>
  <c r="D382" i="27"/>
  <c r="D381" i="27"/>
  <c r="D380" i="27"/>
  <c r="D379" i="27"/>
  <c r="D378" i="27"/>
  <c r="D377" i="27"/>
  <c r="D376" i="27"/>
  <c r="D375" i="27"/>
  <c r="D374" i="27"/>
  <c r="D373" i="27"/>
  <c r="D372" i="27"/>
  <c r="D371" i="27"/>
  <c r="D370" i="27"/>
  <c r="D369" i="27"/>
  <c r="D368" i="27"/>
  <c r="D367" i="27"/>
  <c r="D366" i="27"/>
  <c r="D365" i="27"/>
  <c r="D364" i="27"/>
  <c r="D363" i="27"/>
  <c r="D362" i="27"/>
  <c r="D361" i="27"/>
  <c r="D360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D346" i="27"/>
  <c r="D345" i="27"/>
  <c r="D344" i="27"/>
  <c r="D343" i="27"/>
  <c r="D342" i="27"/>
  <c r="D341" i="27"/>
  <c r="D340" i="27"/>
  <c r="D339" i="27"/>
  <c r="D338" i="27"/>
  <c r="D337" i="27"/>
  <c r="D336" i="27"/>
  <c r="D335" i="27"/>
  <c r="D334" i="27"/>
  <c r="D333" i="27"/>
  <c r="D332" i="27"/>
  <c r="D331" i="27"/>
  <c r="D330" i="27"/>
  <c r="D329" i="27"/>
  <c r="D328" i="27"/>
  <c r="D327" i="27"/>
  <c r="D326" i="27"/>
  <c r="D325" i="27"/>
  <c r="D324" i="27"/>
  <c r="D323" i="27"/>
  <c r="D322" i="27"/>
  <c r="D321" i="27"/>
  <c r="D320" i="27"/>
  <c r="D319" i="27"/>
  <c r="D318" i="27"/>
  <c r="D317" i="27"/>
  <c r="D316" i="27"/>
  <c r="D315" i="27"/>
  <c r="D314" i="27"/>
  <c r="D313" i="27"/>
  <c r="D312" i="27"/>
  <c r="D311" i="27"/>
  <c r="D310" i="27"/>
  <c r="D309" i="27"/>
  <c r="D308" i="27"/>
  <c r="D307" i="27"/>
  <c r="D306" i="27"/>
  <c r="D305" i="27"/>
  <c r="D304" i="27"/>
  <c r="D303" i="27"/>
  <c r="D302" i="27"/>
  <c r="D301" i="27"/>
  <c r="D300" i="27"/>
  <c r="D299" i="27"/>
  <c r="D298" i="27"/>
  <c r="D297" i="27"/>
  <c r="D296" i="27"/>
  <c r="D295" i="27"/>
  <c r="D294" i="27"/>
  <c r="D293" i="27"/>
  <c r="D292" i="27"/>
  <c r="D291" i="27"/>
  <c r="D290" i="27"/>
  <c r="D289" i="27"/>
  <c r="D288" i="27"/>
  <c r="D287" i="27"/>
  <c r="D286" i="27"/>
  <c r="D285" i="27"/>
  <c r="D284" i="27"/>
  <c r="D283" i="27"/>
  <c r="D282" i="27"/>
  <c r="D281" i="27"/>
  <c r="D280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D263" i="27"/>
  <c r="D262" i="27"/>
  <c r="D261" i="27"/>
  <c r="D260" i="27"/>
  <c r="D259" i="27"/>
  <c r="D258" i="27"/>
  <c r="D257" i="27"/>
  <c r="D256" i="27"/>
  <c r="D255" i="27"/>
  <c r="D254" i="27"/>
  <c r="D253" i="27"/>
  <c r="D252" i="27"/>
  <c r="D251" i="27"/>
  <c r="D250" i="27"/>
  <c r="D249" i="27"/>
  <c r="D248" i="27"/>
  <c r="D247" i="27"/>
  <c r="D246" i="27"/>
  <c r="D245" i="27"/>
  <c r="D244" i="27"/>
  <c r="D243" i="27"/>
  <c r="D242" i="27"/>
  <c r="D241" i="27"/>
  <c r="D240" i="27"/>
  <c r="D239" i="27"/>
  <c r="D238" i="27"/>
  <c r="D237" i="27"/>
  <c r="D236" i="27"/>
  <c r="D235" i="27"/>
  <c r="D234" i="27"/>
  <c r="D233" i="27"/>
  <c r="D232" i="27"/>
  <c r="D231" i="27"/>
  <c r="D230" i="27"/>
  <c r="D229" i="27"/>
  <c r="D228" i="27"/>
  <c r="D227" i="27"/>
  <c r="D226" i="27"/>
  <c r="D225" i="27"/>
  <c r="D224" i="27"/>
  <c r="D223" i="27"/>
  <c r="D222" i="27"/>
  <c r="D221" i="27"/>
  <c r="D220" i="27"/>
  <c r="D219" i="27"/>
  <c r="D218" i="27"/>
  <c r="D217" i="27"/>
  <c r="D216" i="27"/>
  <c r="D215" i="27"/>
  <c r="D214" i="27"/>
  <c r="D213" i="27"/>
  <c r="D212" i="27"/>
  <c r="D211" i="27"/>
  <c r="D210" i="27"/>
  <c r="D209" i="27"/>
  <c r="D208" i="27"/>
  <c r="D207" i="27"/>
  <c r="D206" i="27"/>
  <c r="D205" i="27"/>
  <c r="D204" i="27"/>
  <c r="D203" i="27"/>
  <c r="D202" i="27"/>
  <c r="D201" i="27"/>
  <c r="D200" i="27"/>
  <c r="D199" i="27"/>
  <c r="D198" i="27"/>
  <c r="D197" i="27"/>
  <c r="D196" i="27"/>
  <c r="D195" i="27"/>
  <c r="D194" i="27"/>
  <c r="D193" i="27"/>
  <c r="D192" i="27"/>
  <c r="D191" i="27"/>
  <c r="D190" i="27"/>
  <c r="D189" i="27"/>
  <c r="D188" i="27"/>
  <c r="D187" i="27"/>
  <c r="D186" i="27"/>
  <c r="D185" i="27"/>
  <c r="D184" i="27"/>
  <c r="D183" i="27"/>
  <c r="D182" i="27"/>
  <c r="D181" i="27"/>
  <c r="D180" i="27"/>
  <c r="D179" i="27"/>
  <c r="D178" i="27"/>
  <c r="D177" i="27"/>
  <c r="D176" i="27"/>
  <c r="D175" i="27"/>
  <c r="D174" i="27"/>
  <c r="D173" i="27"/>
  <c r="D172" i="27"/>
  <c r="D171" i="27"/>
  <c r="D170" i="27"/>
  <c r="D169" i="27"/>
  <c r="D168" i="27"/>
  <c r="D167" i="27"/>
  <c r="D166" i="27"/>
  <c r="D165" i="27"/>
  <c r="D164" i="27"/>
  <c r="D163" i="27"/>
  <c r="D162" i="27"/>
  <c r="D161" i="27"/>
  <c r="D160" i="27"/>
  <c r="D159" i="27"/>
  <c r="D158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J3" i="27"/>
  <c r="K3" i="27" s="1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J3" i="23"/>
  <c r="K3" i="23" s="1"/>
  <c r="J3" i="22"/>
  <c r="J4" i="22" s="1"/>
  <c r="J3" i="16"/>
  <c r="J4" i="16" s="1"/>
  <c r="J3" i="24"/>
  <c r="J2" i="24" s="1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232" i="23"/>
  <c r="D233" i="23"/>
  <c r="D234" i="23"/>
  <c r="D235" i="23"/>
  <c r="D236" i="23"/>
  <c r="D237" i="23"/>
  <c r="D238" i="23"/>
  <c r="D239" i="23"/>
  <c r="D240" i="23"/>
  <c r="D241" i="23"/>
  <c r="D242" i="23"/>
  <c r="D243" i="23"/>
  <c r="D244" i="23"/>
  <c r="D245" i="23"/>
  <c r="D246" i="23"/>
  <c r="D247" i="23"/>
  <c r="D248" i="23"/>
  <c r="D249" i="23"/>
  <c r="D250" i="23"/>
  <c r="D251" i="23"/>
  <c r="D252" i="23"/>
  <c r="D253" i="23"/>
  <c r="D254" i="23"/>
  <c r="D255" i="23"/>
  <c r="D256" i="23"/>
  <c r="D257" i="23"/>
  <c r="D258" i="23"/>
  <c r="D259" i="23"/>
  <c r="D260" i="23"/>
  <c r="D261" i="23"/>
  <c r="D262" i="23"/>
  <c r="D263" i="23"/>
  <c r="D264" i="23"/>
  <c r="D265" i="23"/>
  <c r="D266" i="23"/>
  <c r="D267" i="23"/>
  <c r="D268" i="23"/>
  <c r="D269" i="23"/>
  <c r="D270" i="23"/>
  <c r="D271" i="23"/>
  <c r="D272" i="23"/>
  <c r="D273" i="23"/>
  <c r="D274" i="23"/>
  <c r="D275" i="23"/>
  <c r="D276" i="23"/>
  <c r="D277" i="23"/>
  <c r="D278" i="23"/>
  <c r="D279" i="23"/>
  <c r="D280" i="23"/>
  <c r="D281" i="23"/>
  <c r="D282" i="23"/>
  <c r="D283" i="23"/>
  <c r="D284" i="23"/>
  <c r="D285" i="23"/>
  <c r="D286" i="23"/>
  <c r="D287" i="23"/>
  <c r="D288" i="23"/>
  <c r="D289" i="23"/>
  <c r="D290" i="23"/>
  <c r="D291" i="23"/>
  <c r="D292" i="23"/>
  <c r="D293" i="23"/>
  <c r="D294" i="23"/>
  <c r="D295" i="23"/>
  <c r="D296" i="23"/>
  <c r="D297" i="23"/>
  <c r="D298" i="23"/>
  <c r="D299" i="23"/>
  <c r="D300" i="23"/>
  <c r="D301" i="23"/>
  <c r="D302" i="23"/>
  <c r="D303" i="23"/>
  <c r="D304" i="23"/>
  <c r="D305" i="23"/>
  <c r="D306" i="23"/>
  <c r="D307" i="23"/>
  <c r="D308" i="23"/>
  <c r="D309" i="23"/>
  <c r="D310" i="23"/>
  <c r="D311" i="23"/>
  <c r="D312" i="23"/>
  <c r="D313" i="23"/>
  <c r="D314" i="23"/>
  <c r="D315" i="23"/>
  <c r="D316" i="23"/>
  <c r="D317" i="23"/>
  <c r="D318" i="23"/>
  <c r="D319" i="23"/>
  <c r="D320" i="23"/>
  <c r="D321" i="23"/>
  <c r="D322" i="23"/>
  <c r="D323" i="23"/>
  <c r="D324" i="23"/>
  <c r="D325" i="23"/>
  <c r="D326" i="23"/>
  <c r="D327" i="23"/>
  <c r="D328" i="23"/>
  <c r="D329" i="23"/>
  <c r="D330" i="23"/>
  <c r="D331" i="23"/>
  <c r="D332" i="23"/>
  <c r="D333" i="23"/>
  <c r="D334" i="23"/>
  <c r="D335" i="23"/>
  <c r="D336" i="23"/>
  <c r="D337" i="23"/>
  <c r="D338" i="23"/>
  <c r="D339" i="23"/>
  <c r="D340" i="23"/>
  <c r="D341" i="23"/>
  <c r="D342" i="23"/>
  <c r="D343" i="23"/>
  <c r="D344" i="23"/>
  <c r="D345" i="23"/>
  <c r="D346" i="23"/>
  <c r="D347" i="23"/>
  <c r="D348" i="23"/>
  <c r="D349" i="23"/>
  <c r="D350" i="23"/>
  <c r="D351" i="23"/>
  <c r="D352" i="23"/>
  <c r="D353" i="23"/>
  <c r="D354" i="23"/>
  <c r="D355" i="23"/>
  <c r="D356" i="23"/>
  <c r="D357" i="23"/>
  <c r="D358" i="23"/>
  <c r="D359" i="23"/>
  <c r="D360" i="23"/>
  <c r="D361" i="23"/>
  <c r="D362" i="23"/>
  <c r="D363" i="23"/>
  <c r="D364" i="23"/>
  <c r="D365" i="23"/>
  <c r="D366" i="23"/>
  <c r="D367" i="23"/>
  <c r="D368" i="23"/>
  <c r="D369" i="23"/>
  <c r="D370" i="23"/>
  <c r="D371" i="23"/>
  <c r="D372" i="23"/>
  <c r="D373" i="23"/>
  <c r="D374" i="23"/>
  <c r="D375" i="23"/>
  <c r="D376" i="23"/>
  <c r="D377" i="23"/>
  <c r="D378" i="23"/>
  <c r="D379" i="23"/>
  <c r="D380" i="23"/>
  <c r="D381" i="23"/>
  <c r="D382" i="23"/>
  <c r="D383" i="23"/>
  <c r="D384" i="23"/>
  <c r="D385" i="23"/>
  <c r="D386" i="23"/>
  <c r="D387" i="23"/>
  <c r="D388" i="23"/>
  <c r="D389" i="23"/>
  <c r="D390" i="23"/>
  <c r="D391" i="23"/>
  <c r="D392" i="23"/>
  <c r="D393" i="23"/>
  <c r="D394" i="23"/>
  <c r="D395" i="23"/>
  <c r="D396" i="23"/>
  <c r="D397" i="23"/>
  <c r="D398" i="23"/>
  <c r="D399" i="23"/>
  <c r="D400" i="23"/>
  <c r="D401" i="23"/>
  <c r="D402" i="23"/>
  <c r="D403" i="23"/>
  <c r="D404" i="23"/>
  <c r="D405" i="23"/>
  <c r="D406" i="23"/>
  <c r="D407" i="23"/>
  <c r="D408" i="23"/>
  <c r="D409" i="23"/>
  <c r="D410" i="23"/>
  <c r="D411" i="23"/>
  <c r="D412" i="23"/>
  <c r="D413" i="23"/>
  <c r="D414" i="23"/>
  <c r="D415" i="23"/>
  <c r="D416" i="23"/>
  <c r="D417" i="23"/>
  <c r="D418" i="23"/>
  <c r="D419" i="23"/>
  <c r="D420" i="23"/>
  <c r="D421" i="23"/>
  <c r="D422" i="23"/>
  <c r="D423" i="23"/>
  <c r="D424" i="23"/>
  <c r="D425" i="23"/>
  <c r="D426" i="23"/>
  <c r="D427" i="23"/>
  <c r="D428" i="23"/>
  <c r="D429" i="23"/>
  <c r="D430" i="23"/>
  <c r="D431" i="23"/>
  <c r="D432" i="23"/>
  <c r="D433" i="23"/>
  <c r="D434" i="23"/>
  <c r="D435" i="23"/>
  <c r="D436" i="23"/>
  <c r="D437" i="23"/>
  <c r="D438" i="23"/>
  <c r="D439" i="23"/>
  <c r="D440" i="23"/>
  <c r="D441" i="23"/>
  <c r="D442" i="23"/>
  <c r="D443" i="23"/>
  <c r="D444" i="23"/>
  <c r="D445" i="23"/>
  <c r="D446" i="23"/>
  <c r="D447" i="23"/>
  <c r="D448" i="23"/>
  <c r="D449" i="23"/>
  <c r="D450" i="23"/>
  <c r="D451" i="23"/>
  <c r="D452" i="23"/>
  <c r="D453" i="23"/>
  <c r="D10" i="23"/>
  <c r="D11" i="23"/>
  <c r="D12" i="23"/>
  <c r="D13" i="23"/>
  <c r="D14" i="23"/>
  <c r="D15" i="23"/>
  <c r="D16" i="23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7" i="24"/>
  <c r="D8" i="24"/>
  <c r="D9" i="23"/>
  <c r="D8" i="23"/>
  <c r="D6" i="24"/>
  <c r="D7" i="23"/>
  <c r="D6" i="23"/>
  <c r="D5" i="23"/>
  <c r="D6" i="22"/>
  <c r="K3" i="28" l="1"/>
  <c r="J4" i="28"/>
  <c r="K3" i="30"/>
  <c r="L3" i="31"/>
  <c r="K4" i="31"/>
  <c r="J2" i="31"/>
  <c r="J4" i="31"/>
  <c r="J2" i="30"/>
  <c r="K4" i="29"/>
  <c r="L3" i="29"/>
  <c r="J2" i="29"/>
  <c r="J4" i="29"/>
  <c r="K4" i="27"/>
  <c r="L3" i="27"/>
  <c r="J4" i="27"/>
  <c r="J2" i="27"/>
  <c r="J4" i="24"/>
  <c r="K3" i="24"/>
  <c r="J2" i="22"/>
  <c r="J4" i="23"/>
  <c r="L3" i="23"/>
  <c r="K4" i="23"/>
  <c r="J2" i="23"/>
  <c r="K3" i="22"/>
  <c r="K3" i="16"/>
  <c r="J2" i="16"/>
  <c r="L3" i="30" l="1"/>
  <c r="K4" i="30"/>
  <c r="K4" i="28"/>
  <c r="L3" i="28"/>
  <c r="M3" i="31"/>
  <c r="L4" i="31"/>
  <c r="L4" i="29"/>
  <c r="M3" i="29"/>
  <c r="L4" i="27"/>
  <c r="M3" i="27"/>
  <c r="K4" i="24"/>
  <c r="L3" i="24"/>
  <c r="L4" i="23"/>
  <c r="M3" i="23"/>
  <c r="K4" i="22"/>
  <c r="L3" i="22"/>
  <c r="K4" i="16"/>
  <c r="L3" i="16"/>
  <c r="L4" i="28" l="1"/>
  <c r="M3" i="28"/>
  <c r="M3" i="30"/>
  <c r="L4" i="30"/>
  <c r="N3" i="31"/>
  <c r="M4" i="31"/>
  <c r="N3" i="29"/>
  <c r="M4" i="29"/>
  <c r="M4" i="27"/>
  <c r="N3" i="27"/>
  <c r="M3" i="24"/>
  <c r="L4" i="24"/>
  <c r="M4" i="23"/>
  <c r="N3" i="23"/>
  <c r="L4" i="22"/>
  <c r="M3" i="22"/>
  <c r="L4" i="16"/>
  <c r="M3" i="16"/>
  <c r="N3" i="30" l="1"/>
  <c r="M4" i="30"/>
  <c r="N3" i="28"/>
  <c r="M4" i="28"/>
  <c r="N4" i="31"/>
  <c r="O3" i="31"/>
  <c r="N4" i="29"/>
  <c r="O3" i="29"/>
  <c r="N4" i="27"/>
  <c r="O3" i="27"/>
  <c r="M4" i="24"/>
  <c r="N3" i="24"/>
  <c r="O3" i="23"/>
  <c r="N4" i="23"/>
  <c r="M4" i="22"/>
  <c r="N3" i="22"/>
  <c r="N3" i="16"/>
  <c r="M4" i="16"/>
  <c r="N4" i="28" l="1"/>
  <c r="O3" i="28"/>
  <c r="N4" i="30"/>
  <c r="O3" i="30"/>
  <c r="O4" i="31"/>
  <c r="P3" i="31"/>
  <c r="O4" i="29"/>
  <c r="P3" i="29"/>
  <c r="O4" i="27"/>
  <c r="P3" i="27"/>
  <c r="N4" i="24"/>
  <c r="O3" i="24"/>
  <c r="P3" i="23"/>
  <c r="O4" i="23"/>
  <c r="N4" i="22"/>
  <c r="O3" i="22"/>
  <c r="N4" i="16"/>
  <c r="O3" i="16"/>
  <c r="P3" i="30" l="1"/>
  <c r="O4" i="30"/>
  <c r="O4" i="28"/>
  <c r="P3" i="28"/>
  <c r="P4" i="31"/>
  <c r="Q3" i="31"/>
  <c r="P4" i="29"/>
  <c r="Q3" i="29"/>
  <c r="P4" i="27"/>
  <c r="Q3" i="27"/>
  <c r="O4" i="24"/>
  <c r="P3" i="24"/>
  <c r="P4" i="23"/>
  <c r="Q3" i="23"/>
  <c r="O4" i="22"/>
  <c r="P3" i="22"/>
  <c r="P3" i="16"/>
  <c r="O4" i="16"/>
  <c r="P4" i="28" l="1"/>
  <c r="Q3" i="28"/>
  <c r="Q3" i="30"/>
  <c r="P4" i="30"/>
  <c r="R3" i="31"/>
  <c r="Q4" i="31"/>
  <c r="Q2" i="31"/>
  <c r="Q4" i="29"/>
  <c r="Q2" i="29"/>
  <c r="R3" i="29"/>
  <c r="Q4" i="27"/>
  <c r="Q2" i="27"/>
  <c r="R3" i="27"/>
  <c r="P4" i="24"/>
  <c r="Q3" i="24"/>
  <c r="Q2" i="23"/>
  <c r="Q4" i="23"/>
  <c r="R3" i="23"/>
  <c r="P4" i="22"/>
  <c r="Q3" i="22"/>
  <c r="P4" i="16"/>
  <c r="Q3" i="16"/>
  <c r="Q4" i="30" l="1"/>
  <c r="R3" i="30"/>
  <c r="Q2" i="30"/>
  <c r="Q2" i="28"/>
  <c r="Q4" i="28"/>
  <c r="R3" i="28"/>
  <c r="R4" i="31"/>
  <c r="S3" i="31"/>
  <c r="R4" i="29"/>
  <c r="S3" i="29"/>
  <c r="S3" i="27"/>
  <c r="R4" i="27"/>
  <c r="Q4" i="24"/>
  <c r="R3" i="24"/>
  <c r="Q2" i="24"/>
  <c r="R4" i="23"/>
  <c r="S3" i="23"/>
  <c r="Q4" i="22"/>
  <c r="R3" i="22"/>
  <c r="Q2" i="22"/>
  <c r="R3" i="16"/>
  <c r="Q4" i="16"/>
  <c r="Q2" i="16"/>
  <c r="R4" i="28" l="1"/>
  <c r="S3" i="28"/>
  <c r="S3" i="30"/>
  <c r="R4" i="30"/>
  <c r="S4" i="31"/>
  <c r="T3" i="31"/>
  <c r="T3" i="29"/>
  <c r="S4" i="29"/>
  <c r="T3" i="27"/>
  <c r="S4" i="27"/>
  <c r="R4" i="24"/>
  <c r="S3" i="24"/>
  <c r="S4" i="23"/>
  <c r="T3" i="23"/>
  <c r="S3" i="22"/>
  <c r="R4" i="22"/>
  <c r="S3" i="16"/>
  <c r="R4" i="16"/>
  <c r="S4" i="30" l="1"/>
  <c r="T3" i="30"/>
  <c r="S4" i="28"/>
  <c r="T3" i="28"/>
  <c r="T4" i="31"/>
  <c r="U3" i="31"/>
  <c r="T4" i="29"/>
  <c r="U3" i="29"/>
  <c r="U3" i="27"/>
  <c r="T4" i="27"/>
  <c r="T3" i="24"/>
  <c r="S4" i="24"/>
  <c r="T4" i="23"/>
  <c r="U3" i="23"/>
  <c r="T3" i="22"/>
  <c r="S4" i="22"/>
  <c r="T3" i="16"/>
  <c r="S4" i="16"/>
  <c r="T4" i="28" l="1"/>
  <c r="U3" i="28"/>
  <c r="U3" i="30"/>
  <c r="T4" i="30"/>
  <c r="V3" i="31"/>
  <c r="U4" i="31"/>
  <c r="V3" i="29"/>
  <c r="U4" i="29"/>
  <c r="V3" i="27"/>
  <c r="U4" i="27"/>
  <c r="U3" i="24"/>
  <c r="T4" i="24"/>
  <c r="U4" i="23"/>
  <c r="V3" i="23"/>
  <c r="T4" i="22"/>
  <c r="U3" i="22"/>
  <c r="U3" i="16"/>
  <c r="T4" i="16"/>
  <c r="U4" i="30" l="1"/>
  <c r="V3" i="30"/>
  <c r="V3" i="28"/>
  <c r="U4" i="28"/>
  <c r="W3" i="31"/>
  <c r="V4" i="31"/>
  <c r="W3" i="29"/>
  <c r="V4" i="29"/>
  <c r="W3" i="27"/>
  <c r="V4" i="27"/>
  <c r="U4" i="24"/>
  <c r="V3" i="24"/>
  <c r="V4" i="23"/>
  <c r="W3" i="23"/>
  <c r="V3" i="22"/>
  <c r="U4" i="22"/>
  <c r="V3" i="16"/>
  <c r="U4" i="16"/>
  <c r="V4" i="28" l="1"/>
  <c r="W3" i="28"/>
  <c r="V4" i="30"/>
  <c r="W3" i="30"/>
  <c r="X3" i="31"/>
  <c r="W4" i="31"/>
  <c r="X3" i="29"/>
  <c r="W4" i="29"/>
  <c r="X3" i="27"/>
  <c r="W4" i="27"/>
  <c r="V4" i="24"/>
  <c r="W3" i="24"/>
  <c r="W4" i="23"/>
  <c r="X3" i="23"/>
  <c r="V4" i="22"/>
  <c r="W3" i="22"/>
  <c r="W3" i="16"/>
  <c r="V4" i="16"/>
  <c r="W4" i="30" l="1"/>
  <c r="X3" i="30"/>
  <c r="W4" i="28"/>
  <c r="X3" i="28"/>
  <c r="Y3" i="31"/>
  <c r="X4" i="31"/>
  <c r="X2" i="31"/>
  <c r="Y3" i="29"/>
  <c r="X2" i="29"/>
  <c r="X4" i="29"/>
  <c r="Y3" i="27"/>
  <c r="X2" i="27"/>
  <c r="X4" i="27"/>
  <c r="W4" i="24"/>
  <c r="X3" i="24"/>
  <c r="X4" i="23"/>
  <c r="Y3" i="23"/>
  <c r="X2" i="23"/>
  <c r="X3" i="22"/>
  <c r="W4" i="22"/>
  <c r="W4" i="16"/>
  <c r="X3" i="16"/>
  <c r="X2" i="28" l="1"/>
  <c r="Y3" i="28"/>
  <c r="X4" i="28"/>
  <c r="X2" i="30"/>
  <c r="Y3" i="30"/>
  <c r="X4" i="30"/>
  <c r="Z3" i="31"/>
  <c r="Y4" i="31"/>
  <c r="Z3" i="29"/>
  <c r="Y4" i="29"/>
  <c r="Z3" i="27"/>
  <c r="Y4" i="27"/>
  <c r="X4" i="24"/>
  <c r="Y3" i="24"/>
  <c r="X2" i="24"/>
  <c r="Y4" i="23"/>
  <c r="Z3" i="23"/>
  <c r="Y3" i="22"/>
  <c r="X4" i="22"/>
  <c r="X2" i="22"/>
  <c r="X4" i="16"/>
  <c r="X2" i="16"/>
  <c r="Y3" i="16"/>
  <c r="Y4" i="30" l="1"/>
  <c r="Z3" i="30"/>
  <c r="Z3" i="28"/>
  <c r="Y4" i="28"/>
  <c r="AA3" i="31"/>
  <c r="Z4" i="31"/>
  <c r="AA3" i="29"/>
  <c r="Z4" i="29"/>
  <c r="AA3" i="27"/>
  <c r="Z4" i="27"/>
  <c r="Z3" i="24"/>
  <c r="Y4" i="24"/>
  <c r="AA3" i="23"/>
  <c r="Z4" i="23"/>
  <c r="Y4" i="22"/>
  <c r="Z3" i="22"/>
  <c r="Y4" i="16"/>
  <c r="Z3" i="16"/>
  <c r="AA3" i="28" l="1"/>
  <c r="Z4" i="28"/>
  <c r="AA3" i="30"/>
  <c r="Z4" i="30"/>
  <c r="AB3" i="31"/>
  <c r="AA4" i="31"/>
  <c r="AB3" i="29"/>
  <c r="AA4" i="29"/>
  <c r="AA4" i="27"/>
  <c r="AB3" i="27"/>
  <c r="Z4" i="24"/>
  <c r="AA3" i="24"/>
  <c r="AB3" i="23"/>
  <c r="AA4" i="23"/>
  <c r="Z4" i="22"/>
  <c r="AA3" i="22"/>
  <c r="Z4" i="16"/>
  <c r="AA3" i="16"/>
  <c r="AB3" i="16" s="1"/>
  <c r="AB3" i="30" l="1"/>
  <c r="AA4" i="30"/>
  <c r="AB3" i="28"/>
  <c r="AA4" i="28"/>
  <c r="AC3" i="31"/>
  <c r="AB4" i="31"/>
  <c r="AB4" i="29"/>
  <c r="AC3" i="29"/>
  <c r="AB4" i="27"/>
  <c r="AC3" i="27"/>
  <c r="AB3" i="24"/>
  <c r="AA4" i="24"/>
  <c r="AB4" i="23"/>
  <c r="AC3" i="23"/>
  <c r="AA4" i="22"/>
  <c r="AB3" i="22"/>
  <c r="AA4" i="16"/>
  <c r="AC3" i="28" l="1"/>
  <c r="AB4" i="28"/>
  <c r="AC3" i="30"/>
  <c r="AB4" i="30"/>
  <c r="AD3" i="31"/>
  <c r="AC4" i="31"/>
  <c r="AD3" i="29"/>
  <c r="AC4" i="29"/>
  <c r="AC4" i="27"/>
  <c r="AD3" i="27"/>
  <c r="AC3" i="24"/>
  <c r="AB4" i="24"/>
  <c r="AC4" i="23"/>
  <c r="AD3" i="23"/>
  <c r="AB4" i="22"/>
  <c r="AC3" i="22"/>
  <c r="AB4" i="16"/>
  <c r="AC3" i="16"/>
  <c r="AD3" i="30" l="1"/>
  <c r="AC4" i="30"/>
  <c r="AC4" i="28"/>
  <c r="AD3" i="28"/>
  <c r="AD4" i="31"/>
  <c r="AE3" i="31"/>
  <c r="AD4" i="29"/>
  <c r="AE3" i="29"/>
  <c r="AD4" i="27"/>
  <c r="AE3" i="27"/>
  <c r="AC4" i="24"/>
  <c r="AD3" i="24"/>
  <c r="AD4" i="23"/>
  <c r="AE3" i="23"/>
  <c r="AC4" i="22"/>
  <c r="AD3" i="22"/>
  <c r="AC4" i="16"/>
  <c r="AD3" i="16"/>
  <c r="AE3" i="28" l="1"/>
  <c r="AD4" i="28"/>
  <c r="AD4" i="30"/>
  <c r="AE3" i="30"/>
  <c r="AE4" i="31"/>
  <c r="AE2" i="31"/>
  <c r="AF3" i="31"/>
  <c r="AE4" i="29"/>
  <c r="AE2" i="29"/>
  <c r="AF3" i="29"/>
  <c r="AE4" i="27"/>
  <c r="AE2" i="27"/>
  <c r="AF3" i="27"/>
  <c r="AD4" i="24"/>
  <c r="AE3" i="24"/>
  <c r="AF3" i="23"/>
  <c r="AE2" i="23"/>
  <c r="AE4" i="23"/>
  <c r="AD4" i="22"/>
  <c r="AE3" i="22"/>
  <c r="AD4" i="16"/>
  <c r="AE3" i="16"/>
  <c r="AE4" i="30" l="1"/>
  <c r="AF3" i="30"/>
  <c r="AE2" i="30"/>
  <c r="AE2" i="28"/>
  <c r="AE4" i="28"/>
  <c r="AF3" i="28"/>
  <c r="AF4" i="31"/>
  <c r="AG3" i="31"/>
  <c r="AF4" i="29"/>
  <c r="AG3" i="29"/>
  <c r="AF4" i="27"/>
  <c r="AG3" i="27"/>
  <c r="AE4" i="24"/>
  <c r="AF3" i="24"/>
  <c r="AE2" i="24"/>
  <c r="AF4" i="23"/>
  <c r="AG3" i="23"/>
  <c r="AE4" i="22"/>
  <c r="AF3" i="22"/>
  <c r="AE2" i="22"/>
  <c r="AE2" i="16"/>
  <c r="AE4" i="16"/>
  <c r="AF3" i="16"/>
  <c r="AF4" i="28" l="1"/>
  <c r="AG3" i="28"/>
  <c r="AF4" i="30"/>
  <c r="AG3" i="30"/>
  <c r="AG4" i="31"/>
  <c r="AH3" i="31"/>
  <c r="AG4" i="29"/>
  <c r="AH3" i="29"/>
  <c r="AG4" i="27"/>
  <c r="AH3" i="27"/>
  <c r="AF4" i="24"/>
  <c r="AG3" i="24"/>
  <c r="AG4" i="23"/>
  <c r="AH3" i="23"/>
  <c r="AF4" i="22"/>
  <c r="AG3" i="22"/>
  <c r="AG3" i="16"/>
  <c r="AF4" i="16"/>
  <c r="AH3" i="30" l="1"/>
  <c r="AG4" i="30"/>
  <c r="AG4" i="28"/>
  <c r="AH3" i="28"/>
  <c r="AH4" i="31"/>
  <c r="AI3" i="31"/>
  <c r="AI3" i="29"/>
  <c r="AH4" i="29"/>
  <c r="AI3" i="27"/>
  <c r="AH4" i="27"/>
  <c r="AG4" i="24"/>
  <c r="AH3" i="24"/>
  <c r="AH4" i="23"/>
  <c r="AI3" i="23"/>
  <c r="AG4" i="22"/>
  <c r="AH3" i="22"/>
  <c r="AH3" i="16"/>
  <c r="AG4" i="16"/>
  <c r="AH4" i="28" l="1"/>
  <c r="AI3" i="28"/>
  <c r="AI3" i="30"/>
  <c r="AH4" i="30"/>
  <c r="AI4" i="31"/>
  <c r="AJ3" i="31"/>
  <c r="AJ3" i="29"/>
  <c r="AI4" i="29"/>
  <c r="AJ3" i="27"/>
  <c r="AI4" i="27"/>
  <c r="AH4" i="24"/>
  <c r="AI3" i="24"/>
  <c r="AI4" i="23"/>
  <c r="AJ3" i="23"/>
  <c r="AH4" i="22"/>
  <c r="AI3" i="22"/>
  <c r="AI3" i="16"/>
  <c r="AH4" i="16"/>
  <c r="AI4" i="30" l="1"/>
  <c r="AJ3" i="30"/>
  <c r="AJ3" i="28"/>
  <c r="AI4" i="28"/>
  <c r="AJ4" i="31"/>
  <c r="AK3" i="31"/>
  <c r="AJ4" i="29"/>
  <c r="AK3" i="29"/>
  <c r="AK3" i="27"/>
  <c r="AJ4" i="27"/>
  <c r="AI4" i="24"/>
  <c r="AJ3" i="24"/>
  <c r="AJ4" i="23"/>
  <c r="AK3" i="23"/>
  <c r="AJ3" i="22"/>
  <c r="AI4" i="22"/>
  <c r="AJ3" i="16"/>
  <c r="AI4" i="16"/>
  <c r="AK3" i="28" l="1"/>
  <c r="AJ4" i="28"/>
  <c r="AK3" i="30"/>
  <c r="AJ4" i="30"/>
  <c r="AL3" i="31"/>
  <c r="AK4" i="31"/>
  <c r="AL3" i="29"/>
  <c r="AK4" i="29"/>
  <c r="AL3" i="27"/>
  <c r="AK4" i="27"/>
  <c r="AJ4" i="24"/>
  <c r="AK3" i="24"/>
  <c r="AK4" i="23"/>
  <c r="AL3" i="23"/>
  <c r="AK3" i="22"/>
  <c r="AJ4" i="22"/>
  <c r="AK3" i="16"/>
  <c r="AJ4" i="16"/>
  <c r="AK4" i="30" l="1"/>
  <c r="AL3" i="30"/>
  <c r="AK4" i="28"/>
  <c r="AL3" i="28"/>
  <c r="AL2" i="31"/>
  <c r="AM3" i="31"/>
  <c r="AL4" i="31"/>
  <c r="AL2" i="29"/>
  <c r="AM3" i="29"/>
  <c r="AL4" i="29"/>
  <c r="AL2" i="27"/>
  <c r="AM3" i="27"/>
  <c r="AL4" i="27"/>
  <c r="AK4" i="24"/>
  <c r="AL3" i="24"/>
  <c r="AL4" i="23"/>
  <c r="AL2" i="23"/>
  <c r="AM3" i="23"/>
  <c r="AL3" i="22"/>
  <c r="AK4" i="22"/>
  <c r="AL3" i="16"/>
  <c r="AK4" i="16"/>
  <c r="AL4" i="30" l="1"/>
  <c r="AL2" i="30"/>
  <c r="AM3" i="30"/>
  <c r="AL4" i="28"/>
  <c r="AL2" i="28"/>
  <c r="AM3" i="28"/>
  <c r="AN3" i="31"/>
  <c r="AM4" i="31"/>
  <c r="AN3" i="29"/>
  <c r="AM4" i="29"/>
  <c r="AN3" i="27"/>
  <c r="AM4" i="27"/>
  <c r="AL4" i="24"/>
  <c r="AM3" i="24"/>
  <c r="AL2" i="24"/>
  <c r="AM4" i="23"/>
  <c r="AN3" i="23"/>
  <c r="AL4" i="22"/>
  <c r="AL2" i="22"/>
  <c r="AM3" i="22"/>
  <c r="AL4" i="16"/>
  <c r="AM3" i="16"/>
  <c r="AL2" i="16"/>
  <c r="AN3" i="28" l="1"/>
  <c r="AM4" i="28"/>
  <c r="AN3" i="30"/>
  <c r="AM4" i="30"/>
  <c r="AO3" i="31"/>
  <c r="AN4" i="31"/>
  <c r="AO3" i="29"/>
  <c r="AN4" i="29"/>
  <c r="AO3" i="27"/>
  <c r="AN4" i="27"/>
  <c r="AM4" i="24"/>
  <c r="AN3" i="24"/>
  <c r="AN4" i="23"/>
  <c r="AO3" i="23"/>
  <c r="AN3" i="22"/>
  <c r="AM4" i="22"/>
  <c r="AM4" i="16"/>
  <c r="AN3" i="16"/>
  <c r="AO3" i="30" l="1"/>
  <c r="AN4" i="30"/>
  <c r="AO3" i="28"/>
  <c r="AN4" i="28"/>
  <c r="AP3" i="31"/>
  <c r="AO4" i="31"/>
  <c r="AP3" i="29"/>
  <c r="AO4" i="29"/>
  <c r="AP3" i="27"/>
  <c r="AO4" i="27"/>
  <c r="AN4" i="24"/>
  <c r="AO3" i="24"/>
  <c r="AO4" i="23"/>
  <c r="AP3" i="23"/>
  <c r="AN4" i="22"/>
  <c r="AO3" i="22"/>
  <c r="AN4" i="16"/>
  <c r="AO3" i="16"/>
  <c r="AP3" i="28" l="1"/>
  <c r="AO4" i="28"/>
  <c r="AO4" i="30"/>
  <c r="AP3" i="30"/>
  <c r="AQ3" i="31"/>
  <c r="AP4" i="31"/>
  <c r="AQ3" i="29"/>
  <c r="AP4" i="29"/>
  <c r="AQ3" i="27"/>
  <c r="AP4" i="27"/>
  <c r="AO4" i="24"/>
  <c r="AP3" i="24"/>
  <c r="AQ3" i="23"/>
  <c r="AP4" i="23"/>
  <c r="AO4" i="22"/>
  <c r="AP3" i="22"/>
  <c r="AO4" i="16"/>
  <c r="AP3" i="16"/>
  <c r="AP4" i="30" l="1"/>
  <c r="AQ3" i="30"/>
  <c r="AQ3" i="28"/>
  <c r="AP4" i="28"/>
  <c r="AR3" i="31"/>
  <c r="AQ4" i="31"/>
  <c r="AR3" i="29"/>
  <c r="AQ4" i="29"/>
  <c r="AQ4" i="27"/>
  <c r="AR3" i="27"/>
  <c r="AP4" i="24"/>
  <c r="AQ3" i="24"/>
  <c r="AR3" i="23"/>
  <c r="AQ4" i="23"/>
  <c r="AP4" i="22"/>
  <c r="AQ3" i="22"/>
  <c r="AP4" i="16"/>
  <c r="AQ3" i="16"/>
  <c r="AR3" i="16" s="1"/>
  <c r="AS3" i="16" s="1"/>
  <c r="AQ4" i="28" l="1"/>
  <c r="AR3" i="28"/>
  <c r="AQ4" i="30"/>
  <c r="AR3" i="30"/>
  <c r="AS3" i="31"/>
  <c r="AR4" i="31"/>
  <c r="AS3" i="29"/>
  <c r="AR4" i="29"/>
  <c r="AR4" i="27"/>
  <c r="AS3" i="27"/>
  <c r="AS2" i="16"/>
  <c r="AT3" i="16"/>
  <c r="AS4" i="16"/>
  <c r="AR4" i="23"/>
  <c r="AS3" i="23"/>
  <c r="AR3" i="24"/>
  <c r="AQ4" i="24"/>
  <c r="AQ4" i="22"/>
  <c r="AR3" i="22"/>
  <c r="AQ4" i="16"/>
  <c r="AS3" i="30" l="1"/>
  <c r="AR4" i="30"/>
  <c r="AS3" i="28"/>
  <c r="AR4" i="28"/>
  <c r="AT3" i="31"/>
  <c r="AS2" i="31"/>
  <c r="AS4" i="31"/>
  <c r="AT3" i="29"/>
  <c r="AS2" i="29"/>
  <c r="AS4" i="29"/>
  <c r="AS2" i="27"/>
  <c r="AS4" i="27"/>
  <c r="AT3" i="27"/>
  <c r="AR4" i="24"/>
  <c r="AS3" i="24"/>
  <c r="AR4" i="22"/>
  <c r="AS3" i="22"/>
  <c r="AU3" i="16"/>
  <c r="AT4" i="16"/>
  <c r="AS2" i="23"/>
  <c r="AS4" i="23"/>
  <c r="AT3" i="23"/>
  <c r="AR4" i="16"/>
  <c r="AS4" i="28" l="1"/>
  <c r="AT3" i="28"/>
  <c r="AS2" i="28"/>
  <c r="AT3" i="30"/>
  <c r="AS2" i="30"/>
  <c r="AS4" i="30"/>
  <c r="AT4" i="31"/>
  <c r="AU3" i="31"/>
  <c r="AT4" i="29"/>
  <c r="AU3" i="29"/>
  <c r="AT4" i="27"/>
  <c r="AU3" i="27"/>
  <c r="AS4" i="24"/>
  <c r="AT3" i="24"/>
  <c r="AS2" i="24"/>
  <c r="AS4" i="22"/>
  <c r="AT3" i="22"/>
  <c r="AS2" i="22"/>
  <c r="AV3" i="16"/>
  <c r="AU4" i="16"/>
  <c r="AU3" i="23"/>
  <c r="AT4" i="23"/>
  <c r="AT4" i="30" l="1"/>
  <c r="AU3" i="30"/>
  <c r="AU3" i="28"/>
  <c r="AT4" i="28"/>
  <c r="AU4" i="31"/>
  <c r="AV3" i="31"/>
  <c r="AU4" i="29"/>
  <c r="AV3" i="29"/>
  <c r="AU4" i="27"/>
  <c r="AV3" i="27"/>
  <c r="AT4" i="24"/>
  <c r="AU3" i="24"/>
  <c r="AU3" i="22"/>
  <c r="AT4" i="22"/>
  <c r="AV4" i="16"/>
  <c r="AW3" i="16"/>
  <c r="AV3" i="23"/>
  <c r="AU4" i="23"/>
  <c r="AV3" i="28" l="1"/>
  <c r="AU4" i="28"/>
  <c r="AU4" i="30"/>
  <c r="AV3" i="30"/>
  <c r="AV4" i="31"/>
  <c r="AW3" i="31"/>
  <c r="AV4" i="29"/>
  <c r="AW3" i="29"/>
  <c r="AV4" i="27"/>
  <c r="AW3" i="27"/>
  <c r="AV3" i="24"/>
  <c r="AU4" i="24"/>
  <c r="AV3" i="22"/>
  <c r="AU4" i="22"/>
  <c r="AX3" i="16"/>
  <c r="AW4" i="16"/>
  <c r="AW3" i="23"/>
  <c r="AV4" i="23"/>
  <c r="AV4" i="30" l="1"/>
  <c r="AW3" i="30"/>
  <c r="AW3" i="28"/>
  <c r="AV4" i="28"/>
  <c r="AW4" i="31"/>
  <c r="AX3" i="31"/>
  <c r="AW4" i="29"/>
  <c r="AX3" i="29"/>
  <c r="AW4" i="27"/>
  <c r="AX3" i="27"/>
  <c r="AV4" i="24"/>
  <c r="AW3" i="24"/>
  <c r="AV4" i="22"/>
  <c r="AW3" i="22"/>
  <c r="AY3" i="16"/>
  <c r="AY4" i="16" s="1"/>
  <c r="AX4" i="16"/>
  <c r="AX3" i="23"/>
  <c r="AW4" i="23"/>
  <c r="AW4" i="28" l="1"/>
  <c r="AX3" i="28"/>
  <c r="AX3" i="30"/>
  <c r="AW4" i="30"/>
  <c r="AX4" i="31"/>
  <c r="AY3" i="31"/>
  <c r="AY4" i="31" s="1"/>
  <c r="AY3" i="29"/>
  <c r="AY4" i="29" s="1"/>
  <c r="AX4" i="29"/>
  <c r="AX4" i="27"/>
  <c r="AY3" i="27"/>
  <c r="AY4" i="27" s="1"/>
  <c r="AX3" i="24"/>
  <c r="AW4" i="24"/>
  <c r="AW4" i="22"/>
  <c r="AX3" i="22"/>
  <c r="AY3" i="23"/>
  <c r="AY4" i="23" s="1"/>
  <c r="AX4" i="23"/>
  <c r="AY3" i="30" l="1"/>
  <c r="AY4" i="30" s="1"/>
  <c r="AX4" i="30"/>
  <c r="AY3" i="28"/>
  <c r="AY4" i="28" s="1"/>
  <c r="AX4" i="28"/>
  <c r="AY3" i="24"/>
  <c r="AY4" i="24" s="1"/>
  <c r="AX4" i="24"/>
  <c r="AY3" i="22"/>
  <c r="AY4" i="22" s="1"/>
  <c r="AX4" i="22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<sst xmlns="http://schemas.openxmlformats.org/spreadsheetml/2006/main" count="412" uniqueCount="172">
  <si>
    <t>Task Name</t>
    <phoneticPr fontId="20" type="noConversion"/>
  </si>
  <si>
    <t>Start Date</t>
    <phoneticPr fontId="20" type="noConversion"/>
  </si>
  <si>
    <t>End Date</t>
    <phoneticPr fontId="20" type="noConversion"/>
  </si>
  <si>
    <t>Owner</t>
    <phoneticPr fontId="20" type="noConversion"/>
  </si>
  <si>
    <t>Status</t>
    <phoneticPr fontId="20" type="noConversion"/>
  </si>
  <si>
    <t>Comment</t>
    <phoneticPr fontId="20" type="noConversion"/>
  </si>
  <si>
    <t>In Progress</t>
  </si>
  <si>
    <t>Done</t>
  </si>
  <si>
    <t>Team Members</t>
    <phoneticPr fontId="25" type="noConversion"/>
  </si>
  <si>
    <t>Name</t>
    <phoneticPr fontId="25" type="noConversion"/>
  </si>
  <si>
    <t>Site</t>
    <phoneticPr fontId="25" type="noConversion"/>
  </si>
  <si>
    <t>Competency</t>
    <phoneticPr fontId="25" type="noConversion"/>
  </si>
  <si>
    <t>Title</t>
    <phoneticPr fontId="25" type="noConversion"/>
  </si>
  <si>
    <t>Mobile</t>
    <phoneticPr fontId="25" type="noConversion"/>
  </si>
  <si>
    <t>Resposible</t>
    <phoneticPr fontId="25" type="noConversion"/>
  </si>
  <si>
    <t>MATS</t>
    <phoneticPr fontId="25" type="noConversion"/>
  </si>
  <si>
    <t>SW</t>
    <phoneticPr fontId="25" type="noConversion"/>
  </si>
  <si>
    <t>Software Manager</t>
    <phoneticPr fontId="25" type="noConversion"/>
  </si>
  <si>
    <t>Jason Zhang</t>
    <phoneticPr fontId="25" type="noConversion"/>
  </si>
  <si>
    <t>Software Engineer</t>
    <phoneticPr fontId="25" type="noConversion"/>
  </si>
  <si>
    <t>Mingyu Ma</t>
    <phoneticPr fontId="25" type="noConversion"/>
  </si>
  <si>
    <t xml:space="preserve">	17315372380</t>
    <phoneticPr fontId="25" type="noConversion"/>
  </si>
  <si>
    <t>mingyu.ma@mahle.com</t>
    <phoneticPr fontId="25" type="noConversion"/>
  </si>
  <si>
    <t>Libo Zhu</t>
    <phoneticPr fontId="25" type="noConversion"/>
  </si>
  <si>
    <t>libo.zhu@mahle.com</t>
    <phoneticPr fontId="25" type="noConversion"/>
  </si>
  <si>
    <t>Stephen Zeng</t>
    <phoneticPr fontId="25" type="noConversion"/>
  </si>
  <si>
    <t xml:space="preserve">	18166038355</t>
    <phoneticPr fontId="25" type="noConversion"/>
  </si>
  <si>
    <t>stephen.zeng@mahle.com</t>
    <phoneticPr fontId="25" type="noConversion"/>
  </si>
  <si>
    <t>Min Xiong</t>
    <phoneticPr fontId="25" type="noConversion"/>
  </si>
  <si>
    <t>min.xiong@mahle.com</t>
    <phoneticPr fontId="25" type="noConversion"/>
  </si>
  <si>
    <t>Shenglin Chen</t>
    <phoneticPr fontId="25" type="noConversion"/>
  </si>
  <si>
    <t>shenglin.chen@mahle.com</t>
    <phoneticPr fontId="25" type="noConversion"/>
  </si>
  <si>
    <t>Feihao Liu</t>
    <phoneticPr fontId="25" type="noConversion"/>
  </si>
  <si>
    <t>feihao.liu@mahle.com</t>
    <phoneticPr fontId="25" type="noConversion"/>
  </si>
  <si>
    <t>Alex Li</t>
    <phoneticPr fontId="25" type="noConversion"/>
  </si>
  <si>
    <t>alex.a.li@mahle.com</t>
    <phoneticPr fontId="25" type="noConversion"/>
  </si>
  <si>
    <t>Lilong Xu</t>
    <phoneticPr fontId="25" type="noConversion"/>
  </si>
  <si>
    <t>Bin Huang</t>
    <phoneticPr fontId="20" type="noConversion"/>
  </si>
  <si>
    <t>Xin Guo</t>
    <phoneticPr fontId="20" type="noConversion"/>
  </si>
  <si>
    <t>Alex Zhu</t>
    <phoneticPr fontId="20" type="noConversion"/>
  </si>
  <si>
    <t>与Honda澄清网络安全需求</t>
    <phoneticPr fontId="20" type="noConversion"/>
  </si>
  <si>
    <t>Jason Zhang</t>
  </si>
  <si>
    <t>与HET评审CAN通讯通用需求</t>
    <phoneticPr fontId="20" type="noConversion"/>
  </si>
  <si>
    <t>Not Start</t>
  </si>
  <si>
    <t>Min Xiong Support</t>
    <phoneticPr fontId="20" type="noConversion"/>
  </si>
  <si>
    <t>E-mail Address</t>
    <phoneticPr fontId="25" type="noConversion"/>
  </si>
  <si>
    <t>jason.c.zhang@mahle.com</t>
  </si>
  <si>
    <t>向Honda提供CAN一致性说明材料</t>
    <phoneticPr fontId="20" type="noConversion"/>
  </si>
  <si>
    <t>向Dewey提供B样软件测试计划</t>
    <phoneticPr fontId="20" type="noConversion"/>
  </si>
  <si>
    <t>07/15：已根据Bin的反馈更新了测试计划</t>
    <phoneticPr fontId="20" type="noConversion"/>
  </si>
  <si>
    <t>MAHLE Automotive Technologies (Suzhou) Co., Ltd.</t>
  </si>
  <si>
    <t>Review释放给首智的需求</t>
    <phoneticPr fontId="20" type="noConversion"/>
  </si>
  <si>
    <t>与Honda沟通CAN通用需求技术参数</t>
    <phoneticPr fontId="20" type="noConversion"/>
  </si>
  <si>
    <t>lilong.xu@mahle.com</t>
    <phoneticPr fontId="20" type="noConversion"/>
  </si>
  <si>
    <t>alex.zhu@mahle.com</t>
    <phoneticPr fontId="20" type="noConversion"/>
  </si>
  <si>
    <t>bin.b.huang@mahle.com</t>
  </si>
  <si>
    <t>向HET反馈静态代码分析报告格式是否可行</t>
    <phoneticPr fontId="20" type="noConversion"/>
  </si>
  <si>
    <t>Activity</t>
    <phoneticPr fontId="20" type="noConversion"/>
  </si>
  <si>
    <t>Activity</t>
    <phoneticPr fontId="20" type="noConversion"/>
  </si>
  <si>
    <t>Remark</t>
    <phoneticPr fontId="20" type="noConversion"/>
  </si>
  <si>
    <t>SWE1. Requiremnet Analysis</t>
  </si>
  <si>
    <t>Min Xiong</t>
  </si>
  <si>
    <t>Jason Support</t>
    <phoneticPr fontId="20" type="noConversion"/>
  </si>
  <si>
    <t>Review网络安全附件9 RISK RANK</t>
    <phoneticPr fontId="20" type="noConversion"/>
  </si>
  <si>
    <t>Documentaion</t>
  </si>
  <si>
    <t>Bin Huang</t>
  </si>
  <si>
    <t>Lilong Xu</t>
  </si>
  <si>
    <t>确认当前HET实施的软件最新版DBC</t>
    <phoneticPr fontId="20" type="noConversion"/>
  </si>
  <si>
    <t>与HET评审电机空转，堵转，缺相故障诊断</t>
    <phoneticPr fontId="20" type="noConversion"/>
  </si>
  <si>
    <t>START WORKING DATE</t>
    <phoneticPr fontId="20" type="noConversion"/>
  </si>
  <si>
    <t>Duration / d</t>
    <phoneticPr fontId="20" type="noConversion"/>
  </si>
  <si>
    <t>Display_Week</t>
    <phoneticPr fontId="20" type="noConversion"/>
  </si>
  <si>
    <t>Min Xiong, Jason Support</t>
    <phoneticPr fontId="20" type="noConversion"/>
  </si>
  <si>
    <t>0526版EXCEL</t>
    <phoneticPr fontId="20" type="noConversion"/>
  </si>
  <si>
    <t>Dolidays Date</t>
    <phoneticPr fontId="20" type="noConversion"/>
  </si>
  <si>
    <t>Description</t>
    <phoneticPr fontId="20" type="noConversion"/>
  </si>
  <si>
    <t>元旦</t>
    <phoneticPr fontId="20" type="noConversion"/>
  </si>
  <si>
    <t>春节</t>
    <phoneticPr fontId="20" type="noConversion"/>
  </si>
  <si>
    <t>清明</t>
    <phoneticPr fontId="20" type="noConversion"/>
  </si>
  <si>
    <t>劳动节</t>
    <phoneticPr fontId="20" type="noConversion"/>
  </si>
  <si>
    <t>端午节</t>
    <phoneticPr fontId="20" type="noConversion"/>
  </si>
  <si>
    <t>国庆节</t>
    <phoneticPr fontId="20" type="noConversion"/>
  </si>
  <si>
    <t>国庆节，中秋节</t>
    <phoneticPr fontId="20" type="noConversion"/>
  </si>
  <si>
    <t>Holidays and other Non-working Days</t>
    <phoneticPr fontId="20" type="noConversion"/>
  </si>
  <si>
    <t>Adjustments</t>
    <phoneticPr fontId="20" type="noConversion"/>
  </si>
  <si>
    <t>E-Compressor</t>
    <phoneticPr fontId="20" type="noConversion"/>
  </si>
  <si>
    <t>Project Name</t>
  </si>
  <si>
    <t>Process Improvement</t>
  </si>
  <si>
    <t>更新诊断列表</t>
    <phoneticPr fontId="20" type="noConversion"/>
  </si>
  <si>
    <t>Toolchain Development</t>
  </si>
  <si>
    <t>Motor Dyne Bench Solution</t>
    <phoneticPr fontId="20" type="noConversion"/>
  </si>
  <si>
    <t>Online Working Hours System</t>
    <phoneticPr fontId="20" type="noConversion"/>
  </si>
  <si>
    <t>Feihao Liu</t>
  </si>
  <si>
    <t>Development</t>
  </si>
  <si>
    <t>Model Reference SW Architecture</t>
    <phoneticPr fontId="20" type="noConversion"/>
  </si>
  <si>
    <t>Shenglin Chen</t>
  </si>
  <si>
    <t>Review Requirements</t>
    <phoneticPr fontId="20" type="noConversion"/>
  </si>
  <si>
    <t>Requirement Analysis</t>
  </si>
  <si>
    <t>Analyze requirement on PPE</t>
    <phoneticPr fontId="20" type="noConversion"/>
  </si>
  <si>
    <t>SW Joint Development Process</t>
    <phoneticPr fontId="20" type="noConversion"/>
  </si>
  <si>
    <t>Acquisition</t>
    <phoneticPr fontId="20" type="noConversion"/>
  </si>
  <si>
    <t>NOVOSENSE 1602水泵/风扇平台移植验证</t>
  </si>
  <si>
    <t>Dspace 验证及 OBC软件功能验证</t>
  </si>
  <si>
    <t>Stephen Zeng</t>
  </si>
  <si>
    <t>VW21 需求分析</t>
  </si>
  <si>
    <t>Alex Zhu</t>
  </si>
  <si>
    <t>热管理软件支持</t>
  </si>
  <si>
    <t>Mingyu Ma</t>
  </si>
  <si>
    <t>三菱汽车11kw_OBC</t>
  </si>
  <si>
    <t>陕汽CAN一致性测试</t>
  </si>
  <si>
    <t>6.6kw OBC 平台调试</t>
  </si>
  <si>
    <t>SW</t>
    <phoneticPr fontId="20" type="noConversion"/>
  </si>
  <si>
    <t>jordan.zhou@mahle.com</t>
    <phoneticPr fontId="20" type="noConversion"/>
  </si>
  <si>
    <t>Jason Zhang</t>
    <phoneticPr fontId="20" type="noConversion"/>
  </si>
  <si>
    <t>Project Management</t>
  </si>
  <si>
    <t>[PZDRW Team ]</t>
  </si>
  <si>
    <t>Product&amp;Function</t>
  </si>
  <si>
    <t xml:space="preserve">Main R&amp;D </t>
  </si>
  <si>
    <t>Supplier</t>
  </si>
  <si>
    <t>Status</t>
  </si>
  <si>
    <t>SOP Time</t>
  </si>
  <si>
    <t>Responsible</t>
  </si>
  <si>
    <t>Support</t>
  </si>
  <si>
    <t>E-Compressor</t>
  </si>
  <si>
    <t>Honda 28M_800V_45CC</t>
  </si>
  <si>
    <t>Outsourced</t>
  </si>
  <si>
    <t>HET</t>
  </si>
  <si>
    <t xml:space="preserve">Platform_400V_36CC </t>
  </si>
  <si>
    <t>FristWise</t>
  </si>
  <si>
    <t xml:space="preserve">Platform_800V_45CC </t>
  </si>
  <si>
    <t>FeiYang</t>
  </si>
  <si>
    <t>STELLANTIS_400V_45CC</t>
  </si>
  <si>
    <t xml:space="preserve">TBD </t>
  </si>
  <si>
    <t>VW_800V_45CC</t>
  </si>
  <si>
    <t>Internal</t>
  </si>
  <si>
    <t>HD20_800V_57CC</t>
  </si>
  <si>
    <t>Platform_Ti</t>
  </si>
  <si>
    <t>E-CoolingPump</t>
  </si>
  <si>
    <t>HR18</t>
  </si>
  <si>
    <t>E-CoolingFan</t>
  </si>
  <si>
    <t>OBC&amp;DCLV</t>
  </si>
  <si>
    <t>Platform_800V_2IN1_7kw</t>
  </si>
  <si>
    <t>Platform_48V_DCLV_5kw</t>
  </si>
  <si>
    <t>MMC_400V_3IN1_11kw</t>
  </si>
  <si>
    <t>Bootloader</t>
  </si>
  <si>
    <t>Functional Safety</t>
  </si>
  <si>
    <t>CyberSecurity</t>
  </si>
  <si>
    <t>Toolchain</t>
  </si>
  <si>
    <t>Main Task</t>
  </si>
  <si>
    <t>Jordan Zhou</t>
  </si>
  <si>
    <t>xin.guo@mahle.com</t>
  </si>
  <si>
    <t>Mingyu Ma</t>
    <phoneticPr fontId="20" type="noConversion"/>
  </si>
  <si>
    <t>Honda 28M_800V_45CC</t>
    <phoneticPr fontId="20" type="noConversion"/>
  </si>
  <si>
    <t xml:space="preserve">Platform_400V_36CC </t>
    <phoneticPr fontId="20" type="noConversion"/>
  </si>
  <si>
    <t xml:space="preserve">Platform_800V_45CC </t>
    <phoneticPr fontId="20" type="noConversion"/>
  </si>
  <si>
    <t>STELLANTIS_400V_45CC</t>
    <phoneticPr fontId="20" type="noConversion"/>
  </si>
  <si>
    <t>VW_800V_45CC</t>
    <phoneticPr fontId="20" type="noConversion"/>
  </si>
  <si>
    <t>HD20_800V_57CC</t>
    <phoneticPr fontId="20" type="noConversion"/>
  </si>
  <si>
    <t>Platform_Ti</t>
    <phoneticPr fontId="20" type="noConversion"/>
  </si>
  <si>
    <t>OBC&amp;DCLV</t>
    <phoneticPr fontId="20" type="noConversion"/>
  </si>
  <si>
    <t>Min Xiong</t>
    <phoneticPr fontId="20" type="noConversion"/>
  </si>
  <si>
    <t>E-CoolingFan</t>
    <phoneticPr fontId="20" type="noConversion"/>
  </si>
  <si>
    <t>xxxx</t>
    <phoneticPr fontId="20" type="noConversion"/>
  </si>
  <si>
    <t>E-CoolingPump</t>
    <phoneticPr fontId="20" type="noConversion"/>
  </si>
  <si>
    <t>HR18</t>
    <phoneticPr fontId="20" type="noConversion"/>
  </si>
  <si>
    <t>XCSP</t>
    <phoneticPr fontId="20" type="noConversion"/>
  </si>
  <si>
    <t>XXX</t>
    <phoneticPr fontId="20" type="noConversion"/>
  </si>
  <si>
    <t>Bootloader</t>
    <phoneticPr fontId="20" type="noConversion"/>
  </si>
  <si>
    <t>Functional Safety</t>
    <phoneticPr fontId="20" type="noConversion"/>
  </si>
  <si>
    <t>CyberSecurity</t>
    <phoneticPr fontId="20" type="noConversion"/>
  </si>
  <si>
    <t>Main Task</t>
    <phoneticPr fontId="20" type="noConversion"/>
  </si>
  <si>
    <t>Toolchain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</si>
</sst>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yy;@"/>
    <numFmt numFmtId="165" formatCode="[$$-409]#,##0.0000_);[Red]\([$$-409]#,##0.0000\)"/>
    <numFmt numFmtId="166" formatCode="[$-409]d\-mmm\-yy;@"/>
    <numFmt numFmtId="167" formatCode="d"/>
    <numFmt numFmtId="168" formatCode="yyyy\-mm\-dd;@"/>
    <numFmt numFmtId="169" formatCode="0_);[Red]\(0\)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Calibri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9"/>
      <name val="宋体"/>
      <family val="3"/>
      <charset val="134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sz val="10"/>
      <color theme="4" tint="-0.249977111117893"/>
      <name val="Arial"/>
      <family val="2"/>
    </font>
    <font>
      <sz val="11"/>
      <color theme="10"/>
      <name val="Calibri"/>
      <family val="2"/>
      <scheme val="minor"/>
    </font>
    <font>
      <b/>
      <sz val="12"/>
      <color theme="0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u/>
      <sz val="16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53">
    <xf numFmtId="164" fontId="0" fillId="0" borderId="0"/>
    <xf numFmtId="164" fontId="2" fillId="0" borderId="0" applyNumberFormat="0" applyFill="0" applyBorder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6" fillId="2" borderId="0" applyNumberFormat="0" applyBorder="0" applyAlignment="0" applyProtection="0"/>
    <xf numFmtId="164" fontId="7" fillId="3" borderId="0" applyNumberFormat="0" applyBorder="0" applyAlignment="0" applyProtection="0"/>
    <xf numFmtId="164" fontId="8" fillId="4" borderId="0" applyNumberFormat="0" applyBorder="0" applyAlignment="0" applyProtection="0"/>
    <xf numFmtId="164" fontId="9" fillId="5" borderId="4" applyNumberFormat="0" applyAlignment="0" applyProtection="0"/>
    <xf numFmtId="164" fontId="10" fillId="6" borderId="5" applyNumberFormat="0" applyAlignment="0" applyProtection="0"/>
    <xf numFmtId="164" fontId="11" fillId="6" borderId="4" applyNumberFormat="0" applyAlignment="0" applyProtection="0"/>
    <xf numFmtId="164" fontId="12" fillId="0" borderId="6" applyNumberFormat="0" applyFill="0" applyAlignment="0" applyProtection="0"/>
    <xf numFmtId="164" fontId="13" fillId="7" borderId="7" applyNumberFormat="0" applyAlignment="0" applyProtection="0"/>
    <xf numFmtId="164" fontId="14" fillId="0" borderId="0" applyNumberFormat="0" applyFill="0" applyBorder="0" applyAlignment="0" applyProtection="0"/>
    <xf numFmtId="164" fontId="1" fillId="8" borderId="8" applyNumberFormat="0" applyFont="0" applyAlignment="0" applyProtection="0"/>
    <xf numFmtId="164" fontId="15" fillId="0" borderId="0" applyNumberFormat="0" applyFill="0" applyBorder="0" applyAlignment="0" applyProtection="0"/>
    <xf numFmtId="164" fontId="16" fillId="0" borderId="9" applyNumberFormat="0" applyFill="0" applyAlignment="0" applyProtection="0"/>
    <xf numFmtId="164" fontId="17" fillId="9" borderId="0" applyNumberFormat="0" applyBorder="0" applyAlignment="0" applyProtection="0"/>
    <xf numFmtId="164" fontId="1" fillId="10" borderId="0" applyNumberFormat="0" applyBorder="0" applyAlignment="0" applyProtection="0"/>
    <xf numFmtId="164" fontId="1" fillId="11" borderId="0" applyNumberFormat="0" applyBorder="0" applyAlignment="0" applyProtection="0"/>
    <xf numFmtId="164" fontId="1" fillId="12" borderId="0" applyNumberFormat="0" applyBorder="0" applyAlignment="0" applyProtection="0"/>
    <xf numFmtId="164" fontId="17" fillId="13" borderId="0" applyNumberFormat="0" applyBorder="0" applyAlignment="0" applyProtection="0"/>
    <xf numFmtId="164" fontId="1" fillId="14" borderId="0" applyNumberFormat="0" applyBorder="0" applyAlignment="0" applyProtection="0"/>
    <xf numFmtId="164" fontId="1" fillId="15" borderId="0" applyNumberFormat="0" applyBorder="0" applyAlignment="0" applyProtection="0"/>
    <xf numFmtId="164" fontId="1" fillId="16" borderId="0" applyNumberFormat="0" applyBorder="0" applyAlignment="0" applyProtection="0"/>
    <xf numFmtId="164" fontId="17" fillId="17" borderId="0" applyNumberFormat="0" applyBorder="0" applyAlignment="0" applyProtection="0"/>
    <xf numFmtId="164" fontId="1" fillId="18" borderId="0" applyNumberFormat="0" applyBorder="0" applyAlignment="0" applyProtection="0"/>
    <xf numFmtId="164" fontId="1" fillId="19" borderId="0" applyNumberFormat="0" applyBorder="0" applyAlignment="0" applyProtection="0"/>
    <xf numFmtId="164" fontId="1" fillId="20" borderId="0" applyNumberFormat="0" applyBorder="0" applyAlignment="0" applyProtection="0"/>
    <xf numFmtId="164" fontId="17" fillId="21" borderId="0" applyNumberFormat="0" applyBorder="0" applyAlignment="0" applyProtection="0"/>
    <xf numFmtId="164" fontId="1" fillId="22" borderId="0" applyNumberFormat="0" applyBorder="0" applyAlignment="0" applyProtection="0"/>
    <xf numFmtId="164" fontId="1" fillId="23" borderId="0" applyNumberFormat="0" applyBorder="0" applyAlignment="0" applyProtection="0"/>
    <xf numFmtId="164" fontId="1" fillId="24" borderId="0" applyNumberFormat="0" applyBorder="0" applyAlignment="0" applyProtection="0"/>
    <xf numFmtId="164" fontId="17" fillId="25" borderId="0" applyNumberFormat="0" applyBorder="0" applyAlignment="0" applyProtection="0"/>
    <xf numFmtId="164" fontId="1" fillId="26" borderId="0" applyNumberFormat="0" applyBorder="0" applyAlignment="0" applyProtection="0"/>
    <xf numFmtId="164" fontId="1" fillId="27" borderId="0" applyNumberFormat="0" applyBorder="0" applyAlignment="0" applyProtection="0"/>
    <xf numFmtId="164" fontId="1" fillId="28" borderId="0" applyNumberFormat="0" applyBorder="0" applyAlignment="0" applyProtection="0"/>
    <xf numFmtId="164" fontId="17" fillId="29" borderId="0" applyNumberFormat="0" applyBorder="0" applyAlignment="0" applyProtection="0"/>
    <xf numFmtId="164" fontId="1" fillId="30" borderId="0" applyNumberFormat="0" applyBorder="0" applyAlignment="0" applyProtection="0"/>
    <xf numFmtId="164" fontId="1" fillId="31" borderId="0" applyNumberFormat="0" applyBorder="0" applyAlignment="0" applyProtection="0"/>
    <xf numFmtId="164" fontId="1" fillId="32" borderId="0" applyNumberFormat="0" applyBorder="0" applyAlignment="0" applyProtection="0"/>
    <xf numFmtId="164" fontId="18" fillId="0" borderId="0"/>
    <xf numFmtId="164" fontId="18" fillId="0" borderId="0"/>
    <xf numFmtId="164" fontId="19" fillId="0" borderId="0"/>
    <xf numFmtId="164" fontId="18" fillId="0" borderId="0"/>
    <xf numFmtId="165" fontId="21" fillId="0" borderId="0"/>
    <xf numFmtId="0" fontId="18" fillId="0" borderId="0"/>
    <xf numFmtId="166" fontId="18" fillId="0" borderId="0"/>
    <xf numFmtId="166" fontId="1" fillId="0" borderId="0"/>
    <xf numFmtId="0" fontId="22" fillId="0" borderId="0"/>
    <xf numFmtId="164" fontId="23" fillId="0" borderId="0" applyNumberFormat="0" applyFill="0" applyBorder="0" applyAlignment="0" applyProtection="0"/>
    <xf numFmtId="166" fontId="18" fillId="0" borderId="0"/>
  </cellStyleXfs>
  <cellXfs count="63">
    <xf numFmtId="164" fontId="0" fillId="0" borderId="0" xfId="0"/>
    <xf numFmtId="164" fontId="18" fillId="0" borderId="0" xfId="0" applyFont="1"/>
    <xf numFmtId="166" fontId="18" fillId="0" borderId="10" xfId="52" applyBorder="1"/>
    <xf numFmtId="0" fontId="26" fillId="0" borderId="10" xfId="0" applyNumberFormat="1" applyFont="1" applyBorder="1" applyAlignment="1">
      <alignment horizontal="left" vertical="center"/>
    </xf>
    <xf numFmtId="164" fontId="0" fillId="0" borderId="10" xfId="0" applyBorder="1"/>
    <xf numFmtId="164" fontId="0" fillId="0" borderId="0" xfId="0" applyAlignment="1">
      <alignment vertical="center"/>
    </xf>
    <xf numFmtId="164" fontId="0" fillId="0" borderId="10" xfId="0" applyBorder="1" applyAlignment="1">
      <alignment vertical="center"/>
    </xf>
    <xf numFmtId="168" fontId="0" fillId="0" borderId="10" xfId="0" applyNumberFormat="1" applyBorder="1" applyAlignment="1">
      <alignment vertical="center"/>
    </xf>
    <xf numFmtId="164" fontId="0" fillId="0" borderId="10" xfId="0" applyBorder="1" applyAlignment="1">
      <alignment vertical="center" wrapText="1"/>
    </xf>
    <xf numFmtId="0" fontId="0" fillId="0" borderId="10" xfId="0" applyNumberForma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64" fontId="0" fillId="0" borderId="10" xfId="0" applyBorder="1" applyAlignment="1">
      <alignment horizontal="left" vertical="center"/>
    </xf>
    <xf numFmtId="164" fontId="28" fillId="0" borderId="0" xfId="0" applyFont="1" applyAlignment="1">
      <alignment vertical="center"/>
    </xf>
    <xf numFmtId="164" fontId="29" fillId="0" borderId="0" xfId="0" applyFont="1"/>
    <xf numFmtId="164" fontId="30" fillId="0" borderId="10" xfId="51" quotePrefix="1" applyFont="1" applyBorder="1" applyAlignment="1">
      <alignment horizontal="left" vertical="center"/>
    </xf>
    <xf numFmtId="164" fontId="30" fillId="0" borderId="10" xfId="51" applyFont="1" applyBorder="1" applyAlignment="1">
      <alignment horizontal="left" vertical="center"/>
    </xf>
    <xf numFmtId="164" fontId="30" fillId="0" borderId="10" xfId="51" applyFont="1" applyBorder="1"/>
    <xf numFmtId="166" fontId="24" fillId="35" borderId="12" xfId="52" applyFont="1" applyFill="1" applyBorder="1"/>
    <xf numFmtId="166" fontId="24" fillId="35" borderId="11" xfId="52" applyFont="1" applyFill="1" applyBorder="1"/>
    <xf numFmtId="166" fontId="24" fillId="35" borderId="13" xfId="52" applyFont="1" applyFill="1" applyBorder="1"/>
    <xf numFmtId="164" fontId="0" fillId="0" borderId="16" xfId="0" applyBorder="1" applyAlignment="1">
      <alignment vertical="center"/>
    </xf>
    <xf numFmtId="164" fontId="32" fillId="0" borderId="0" xfId="0" applyFont="1" applyAlignment="1">
      <alignment horizontal="center" vertical="center"/>
    </xf>
    <xf numFmtId="164" fontId="27" fillId="34" borderId="15" xfId="0" applyFont="1" applyFill="1" applyBorder="1" applyAlignment="1">
      <alignment vertical="center"/>
    </xf>
    <xf numFmtId="164" fontId="27" fillId="34" borderId="0" xfId="0" applyFont="1" applyFill="1" applyAlignment="1">
      <alignment vertical="center"/>
    </xf>
    <xf numFmtId="164" fontId="33" fillId="34" borderId="0" xfId="0" applyFont="1" applyFill="1" applyAlignment="1">
      <alignment horizontal="center" vertical="center"/>
    </xf>
    <xf numFmtId="164" fontId="27" fillId="34" borderId="14" xfId="0" applyFont="1" applyFill="1" applyBorder="1" applyAlignment="1">
      <alignment vertical="center"/>
    </xf>
    <xf numFmtId="167" fontId="32" fillId="36" borderId="20" xfId="0" applyNumberFormat="1" applyFont="1" applyFill="1" applyBorder="1" applyAlignment="1">
      <alignment horizontal="center" vertical="center"/>
    </xf>
    <xf numFmtId="167" fontId="32" fillId="36" borderId="0" xfId="0" applyNumberFormat="1" applyFont="1" applyFill="1" applyAlignment="1">
      <alignment horizontal="center" vertical="center"/>
    </xf>
    <xf numFmtId="167" fontId="32" fillId="36" borderId="21" xfId="0" applyNumberFormat="1" applyFont="1" applyFill="1" applyBorder="1" applyAlignment="1">
      <alignment horizontal="center" vertical="center"/>
    </xf>
    <xf numFmtId="164" fontId="0" fillId="0" borderId="22" xfId="0" applyBorder="1" applyAlignment="1">
      <alignment vertical="center"/>
    </xf>
    <xf numFmtId="164" fontId="32" fillId="0" borderId="22" xfId="0" applyFont="1" applyBorder="1" applyAlignment="1">
      <alignment horizontal="center" vertical="center"/>
    </xf>
    <xf numFmtId="169" fontId="0" fillId="0" borderId="16" xfId="0" applyNumberFormat="1" applyBorder="1" applyAlignment="1">
      <alignment vertical="center"/>
    </xf>
    <xf numFmtId="164" fontId="27" fillId="33" borderId="18" xfId="0" applyFont="1" applyFill="1" applyBorder="1" applyAlignment="1">
      <alignment vertical="center"/>
    </xf>
    <xf numFmtId="168" fontId="27" fillId="33" borderId="18" xfId="0" applyNumberFormat="1" applyFont="1" applyFill="1" applyBorder="1" applyAlignment="1">
      <alignment vertical="center"/>
    </xf>
    <xf numFmtId="0" fontId="27" fillId="33" borderId="18" xfId="0" applyNumberFormat="1" applyFont="1" applyFill="1" applyBorder="1" applyAlignment="1">
      <alignment horizontal="center" vertical="center"/>
    </xf>
    <xf numFmtId="164" fontId="27" fillId="34" borderId="14" xfId="0" applyFont="1" applyFill="1" applyBorder="1" applyAlignment="1">
      <alignment horizontal="center" vertical="center" wrapText="1"/>
    </xf>
    <xf numFmtId="164" fontId="34" fillId="0" borderId="0" xfId="0" applyFont="1" applyAlignment="1">
      <alignment vertical="center"/>
    </xf>
    <xf numFmtId="164" fontId="35" fillId="34" borderId="0" xfId="0" applyFont="1" applyFill="1"/>
    <xf numFmtId="166" fontId="18" fillId="0" borderId="10" xfId="52" applyBorder="1" applyAlignment="1">
      <alignment vertical="center" wrapText="1"/>
    </xf>
    <xf numFmtId="164" fontId="36" fillId="0" borderId="0" xfId="0" applyFont="1" applyAlignment="1">
      <alignment vertical="center"/>
    </xf>
    <xf numFmtId="164" fontId="23" fillId="0" borderId="10" xfId="51" quotePrefix="1" applyBorder="1" applyAlignment="1">
      <alignment horizontal="left" vertical="center"/>
    </xf>
    <xf numFmtId="164" fontId="37" fillId="34" borderId="10" xfId="0" applyFont="1" applyFill="1" applyBorder="1" applyAlignment="1">
      <alignment vertical="center"/>
    </xf>
    <xf numFmtId="0" fontId="0" fillId="0" borderId="10" xfId="0" applyNumberFormat="1" applyBorder="1" applyAlignment="1">
      <alignment horizontal="left" vertical="center"/>
    </xf>
    <xf numFmtId="164" fontId="39" fillId="0" borderId="10" xfId="51" applyFont="1" applyBorder="1" applyAlignment="1">
      <alignment horizontal="left" vertical="center"/>
    </xf>
    <xf numFmtId="164" fontId="39" fillId="0" borderId="14" xfId="51" applyFont="1" applyBorder="1" applyAlignment="1">
      <alignment horizontal="left" vertical="center"/>
    </xf>
    <xf numFmtId="164" fontId="40" fillId="0" borderId="10" xfId="0" applyFont="1" applyBorder="1" applyAlignment="1">
      <alignment vertical="center"/>
    </xf>
    <xf numFmtId="164" fontId="18" fillId="38" borderId="10" xfId="0" applyFont="1" applyFill="1" applyBorder="1" applyAlignment="1">
      <alignment horizontal="left" vertical="center"/>
    </xf>
    <xf numFmtId="164" fontId="18" fillId="39" borderId="10" xfId="0" applyFont="1" applyFill="1" applyBorder="1" applyAlignment="1">
      <alignment horizontal="left" vertical="center"/>
    </xf>
    <xf numFmtId="164" fontId="41" fillId="39" borderId="0" xfId="0" applyFont="1" applyFill="1"/>
    <xf numFmtId="164" fontId="18" fillId="40" borderId="10" xfId="0" applyFont="1" applyFill="1" applyBorder="1" applyAlignment="1">
      <alignment horizontal="left" vertical="center"/>
    </xf>
    <xf numFmtId="164" fontId="18" fillId="41" borderId="10" xfId="0" applyFont="1" applyFill="1" applyBorder="1" applyAlignment="1">
      <alignment horizontal="left" vertical="center"/>
    </xf>
    <xf numFmtId="164" fontId="18" fillId="42" borderId="10" xfId="0" applyFont="1" applyFill="1" applyBorder="1" applyAlignment="1">
      <alignment horizontal="left" vertical="center"/>
    </xf>
    <xf numFmtId="164" fontId="18" fillId="43" borderId="10" xfId="0" applyFont="1" applyFill="1" applyBorder="1" applyAlignment="1">
      <alignment horizontal="left" vertical="center"/>
    </xf>
    <xf numFmtId="164" fontId="13" fillId="33" borderId="18" xfId="0" applyFont="1" applyFill="1" applyBorder="1" applyAlignment="1">
      <alignment vertical="center"/>
    </xf>
    <xf numFmtId="164" fontId="28" fillId="0" borderId="0" xfId="0" applyFont="1" applyAlignment="1">
      <alignment horizontal="left" vertical="center"/>
    </xf>
    <xf numFmtId="164" fontId="38" fillId="37" borderId="14" xfId="51" applyFont="1" applyFill="1" applyBorder="1" applyAlignment="1">
      <alignment horizontal="left" vertical="center"/>
    </xf>
    <xf numFmtId="164" fontId="38" fillId="37" borderId="15" xfId="51" applyFont="1" applyFill="1" applyBorder="1" applyAlignment="1">
      <alignment horizontal="left" vertical="center"/>
    </xf>
    <xf numFmtId="164" fontId="38" fillId="37" borderId="11" xfId="51" applyFont="1" applyFill="1" applyBorder="1" applyAlignment="1">
      <alignment horizontal="left" vertical="center"/>
    </xf>
    <xf numFmtId="166" fontId="31" fillId="34" borderId="0" xfId="52" applyFont="1" applyFill="1" applyAlignment="1">
      <alignment vertical="center"/>
    </xf>
    <xf numFmtId="164" fontId="32" fillId="36" borderId="17" xfId="0" applyFont="1" applyFill="1" applyBorder="1" applyAlignment="1">
      <alignment horizontal="left" vertical="center"/>
    </xf>
    <xf numFmtId="164" fontId="32" fillId="36" borderId="18" xfId="0" applyFont="1" applyFill="1" applyBorder="1" applyAlignment="1">
      <alignment horizontal="left" vertical="center"/>
    </xf>
    <xf numFmtId="164" fontId="32" fillId="36" borderId="19" xfId="0" applyFont="1" applyFill="1" applyBorder="1" applyAlignment="1">
      <alignment horizontal="left" vertical="center"/>
    </xf>
  </cellXfs>
  <cellStyles count="53">
    <cellStyle name="=C:\WINNT\SYSTEM32\COMMAND.COM" xfId="47" xr:uid="{E147217E-991A-478A-B293-712401F99C3C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1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5" xr:uid="{268E78DC-E6F1-44CA-B094-82F32AB81F12}"/>
    <cellStyle name="Normal 2" xfId="42" xr:uid="{00000000-0005-0000-0000-000025000000}"/>
    <cellStyle name="Normal 2 2" xfId="46" xr:uid="{A2EF72FC-53CC-422B-8354-D934B2BC0A6E}"/>
    <cellStyle name="Normal 2 2 2" xfId="49" xr:uid="{5E317553-EF96-44EA-AE9A-756941CDE837}"/>
    <cellStyle name="Normal 3" xfId="43" xr:uid="{00000000-0005-0000-0000-000026000000}"/>
    <cellStyle name="Normal 4" xfId="44" xr:uid="{8B54953B-1117-457F-9C3E-BA94A27A3CAB}"/>
    <cellStyle name="Normal 5" xfId="52" xr:uid="{0EB2E4F2-87BE-44B7-8DE8-D97B3148EF89}"/>
    <cellStyle name="Note" xfId="15" builtinId="10" customBuiltin="1"/>
    <cellStyle name="Output" xfId="10" builtinId="21" customBuiltin="1"/>
    <cellStyle name="Standard 2" xfId="50" xr:uid="{A3F54F9B-ADD2-45C7-9AD6-F19A9FC4B883}"/>
    <cellStyle name="Title" xfId="1" builtinId="15" customBuiltin="1"/>
    <cellStyle name="Total" xfId="17" builtinId="25" customBuiltin="1"/>
    <cellStyle name="Warning Text" xfId="14" builtinId="11" customBuiltin="1"/>
    <cellStyle name="常规 2" xfId="48" xr:uid="{36902E61-EC13-431D-A5EA-99BEAA26095E}"/>
  </cellStyles>
  <dxfs count="63"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DBF6FB"/>
      <color rgb="FF1DD1CD"/>
      <color rgb="FF00FF00"/>
      <color rgb="FF0000FF"/>
      <color rgb="FF30DEF6"/>
      <color rgb="FF57DB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23/09/relationships/Python" Target="pyth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Scroll" dx="22" fmlaLink="$H$2" horiz="1" max="100" page="0" val="2"/>
</file>

<file path=xl/ctrlProps/ctrlProp2.xml><?xml version="1.0" encoding="utf-8"?>
<formControlPr xmlns="http://schemas.microsoft.com/office/spreadsheetml/2009/9/main" objectType="Scroll" dx="22" fmlaLink="$H$2" horiz="1" max="100" page="0" val="3"/>
</file>

<file path=xl/ctrlProps/ctrlProp3.xml><?xml version="1.0" encoding="utf-8"?>
<formControlPr xmlns="http://schemas.microsoft.com/office/spreadsheetml/2009/9/main" objectType="Scroll" dx="22" fmlaLink="$H$2" horiz="1" max="100" page="0" val="7"/>
</file>

<file path=xl/ctrlProps/ctrlProp4.xml><?xml version="1.0" encoding="utf-8"?>
<formControlPr xmlns="http://schemas.microsoft.com/office/spreadsheetml/2009/9/main" objectType="Scroll" dx="22" fmlaLink="$H$2" horiz="1" max="100" page="0" val="3"/>
</file>

<file path=xl/ctrlProps/ctrlProp5.xml><?xml version="1.0" encoding="utf-8"?>
<formControlPr xmlns="http://schemas.microsoft.com/office/spreadsheetml/2009/9/main" objectType="Scroll" dx="22" fmlaLink="$H$2" horiz="1" max="100" page="0" val="2"/>
</file>

<file path=xl/ctrlProps/ctrlProp6.xml><?xml version="1.0" encoding="utf-8"?>
<formControlPr xmlns="http://schemas.microsoft.com/office/spreadsheetml/2009/9/main" objectType="Scroll" dx="22" fmlaLink="$H$2" horiz="1" max="100" page="0" val="2"/>
</file>

<file path=xl/ctrlProps/ctrlProp7.xml><?xml version="1.0" encoding="utf-8"?>
<formControlPr xmlns="http://schemas.microsoft.com/office/spreadsheetml/2009/9/main" objectType="Scroll" dx="22" fmlaLink="$H$2" horiz="1" max="100" page="0" val="2"/>
</file>

<file path=xl/ctrlProps/ctrlProp8.xml><?xml version="1.0" encoding="utf-8"?>
<formControlPr xmlns="http://schemas.microsoft.com/office/spreadsheetml/2009/9/main" objectType="Scroll" dx="22" fmlaLink="$H$2" horiz="1" max="100" page="0" val="2"/>
</file>

<file path=xl/ctrlProps/ctrlProp9.xml><?xml version="1.0" encoding="utf-8"?>
<formControlPr xmlns="http://schemas.microsoft.com/office/spreadsheetml/2009/9/main" objectType="Scroll" dx="22" fmlaLink="$H$2" horiz="1" max="100" page="0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1218640</xdr:colOff>
      <xdr:row>0</xdr:row>
      <xdr:rowOff>53788</xdr:rowOff>
    </xdr:from>
    <xdr:to>
      <xdr:col>8</xdr:col>
      <xdr:colOff>2790265</xdr:colOff>
      <xdr:row>2</xdr:row>
      <xdr:rowOff>116541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B0EFA4-42AF-490C-AD2B-3B55D7C305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82" t="16840" r="1669" b="15801"/>
        <a:stretch/>
      </xdr:blipFill>
      <xdr:spPr>
        <a:xfrm>
          <a:off x="13810690" y="53788"/>
          <a:ext cx="1571625" cy="596153"/>
        </a:xfrm>
        <a:prstGeom prst="rect">
          <a:avLst/>
        </a:prstGeom>
      </xdr:spPr>
    </xdr:pic>
    <xdr:clientData/>
  </xdr:twoCellAnchor>
  <xdr:twoCellAnchor editAs="oneCell">
    <xdr:from>
      <xdr:col>1</xdr:col>
      <xdr:colOff>620486</xdr:colOff>
      <xdr:row>0</xdr:row>
      <xdr:rowOff>1089</xdr:rowOff>
    </xdr:from>
    <xdr:to>
      <xdr:col>1</xdr:col>
      <xdr:colOff>1405191</xdr:colOff>
      <xdr:row>2</xdr:row>
      <xdr:rowOff>149711</xdr:rowOff>
    </xdr:to>
    <xdr:pic>
      <xdr:nvPicPr>
        <xdr:cNvPr id="3" name="Imagen 14">
          <a:extLst>
            <a:ext uri="{FF2B5EF4-FFF2-40B4-BE49-F238E27FC236}">
              <a16:creationId xmlns:a16="http://schemas.microsoft.com/office/drawing/2014/main" id="{65B0BA16-4C2D-4EC2-AD44-DF79BFE9A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54086" y="1089"/>
          <a:ext cx="784705" cy="6820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5553075</xdr:colOff>
      <xdr:row>0</xdr:row>
      <xdr:rowOff>28575</xdr:rowOff>
    </xdr:from>
    <xdr:to>
      <xdr:col>6</xdr:col>
      <xdr:colOff>5827396</xdr:colOff>
      <xdr:row>0</xdr:row>
      <xdr:rowOff>274369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580ABCC-B878-411F-BA00-17B3B065C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6250" y="28575"/>
          <a:ext cx="883921" cy="245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3FC3C4-9D85-258F-A5B9-6B7C0A1CCD08}"/>
            </a:ext>
          </a:extLst>
        </xdr:cNvPr>
        <xdr:cNvSpPr/>
      </xdr:nvSpPr>
      <xdr:spPr>
        <a:xfrm>
          <a:off x="9249507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76200</xdr:rowOff>
        </xdr:from>
        <xdr:to>
          <xdr:col>16</xdr:col>
          <xdr:colOff>0</xdr:colOff>
          <xdr:row>0</xdr:row>
          <xdr:rowOff>304800</xdr:rowOff>
        </xdr:to>
        <xdr:sp macro="" textlink="">
          <xdr:nvSpPr>
            <xdr:cNvPr id="1049" name="Scroll Ba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297180</xdr:rowOff>
        </xdr:to>
        <xdr:sp macro="" textlink="">
          <xdr:nvSpPr>
            <xdr:cNvPr id="18435" name="Scroll Bar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7</xdr:col>
      <xdr:colOff>447675</xdr:colOff>
      <xdr:row>0</xdr:row>
      <xdr:rowOff>38100</xdr:rowOff>
    </xdr:from>
    <xdr:to>
      <xdr:col>7</xdr:col>
      <xdr:colOff>1447800</xdr:colOff>
      <xdr:row>0</xdr:row>
      <xdr:rowOff>304800</xdr:rowOff>
    </xdr:to>
    <xdr:sp macro="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484DA4-2A37-4B71-B0AB-F1549F7531BE}"/>
            </a:ext>
          </a:extLst>
        </xdr:cNvPr>
        <xdr:cNvSpPr/>
      </xdr:nvSpPr>
      <xdr:spPr>
        <a:xfrm>
          <a:off x="9458325" y="3810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E20E42-CA18-44FE-BF28-2B7497C0FED7}"/>
            </a:ext>
          </a:extLst>
        </xdr:cNvPr>
        <xdr:cNvSpPr/>
      </xdr:nvSpPr>
      <xdr:spPr>
        <a:xfrm>
          <a:off x="944953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297180</xdr:rowOff>
        </xdr:to>
        <xdr:sp macro="" textlink="">
          <xdr:nvSpPr>
            <xdr:cNvPr id="8193" name="Scroll Ba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461E9A-AEE1-4822-BA83-E458F174A694}"/>
            </a:ext>
          </a:extLst>
        </xdr:cNvPr>
        <xdr:cNvSpPr/>
      </xdr:nvSpPr>
      <xdr:spPr>
        <a:xfrm>
          <a:off x="944953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312420</xdr:rowOff>
        </xdr:to>
        <xdr:sp macro="" textlink="">
          <xdr:nvSpPr>
            <xdr:cNvPr id="12289" name="Scroll Ba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F9B86D-6EC1-4097-93B0-0620C2993426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289560</xdr:rowOff>
        </xdr:to>
        <xdr:sp macro="" textlink="">
          <xdr:nvSpPr>
            <xdr:cNvPr id="19457" name="Scroll Bar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34BB3C-9402-4266-B6C0-C92A2226B4CB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304800</xdr:rowOff>
        </xdr:to>
        <xdr:sp macro="" textlink="">
          <xdr:nvSpPr>
            <xdr:cNvPr id="20481" name="Scroll Bar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912953-933A-48DB-8915-28E66500D0DC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297180</xdr:rowOff>
        </xdr:to>
        <xdr:sp macro="" textlink="">
          <xdr:nvSpPr>
            <xdr:cNvPr id="21505" name="Scroll Ba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412835-F6DB-411E-B50A-339F6D425CBA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1</xdr:row>
          <xdr:rowOff>114300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2AD622-4CB4-47D5-9C2B-B1E58DFACC2D}"/>
            </a:ext>
          </a:extLst>
        </xdr:cNvPr>
        <xdr:cNvSpPr/>
      </xdr:nvSpPr>
      <xdr:spPr>
        <a:xfrm>
          <a:off x="944953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16</xdr:col>
          <xdr:colOff>0</xdr:colOff>
          <xdr:row>0</xdr:row>
          <xdr:rowOff>312420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189672\Documents\APP_Workspace\App_Doc\001_Standards\Management\PZDRW_Team_Task_Management-0826.xlsx" TargetMode="External"/><Relationship Id="rId1" Type="http://schemas.openxmlformats.org/officeDocument/2006/relationships/externalLinkPath" Target="/Users/M0189672/Documents/APP_Workspace/App_Doc/001_Standards/Management/PZDRW_Team_Task_Management-08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 Management"/>
      <sheetName val="PZDRW Team Members"/>
      <sheetName val="E-Compressor"/>
      <sheetName val="E-CoolingPump"/>
      <sheetName val="E-CoolingFan"/>
      <sheetName val="OBC&amp;DCLV"/>
      <sheetName val="Bootloader"/>
      <sheetName val="Functional Safety"/>
      <sheetName val="CyberSecurity"/>
      <sheetName val="Toolchain"/>
      <sheetName val="Main_Task"/>
      <sheetName val="Holidays &amp; Special Days"/>
    </sheetNames>
    <sheetDataSet>
      <sheetData sheetId="0"/>
      <sheetData sheetId="1"/>
      <sheetData sheetId="2">
        <row r="2">
          <cell r="H2">
            <v>1</v>
          </cell>
        </row>
        <row r="3">
          <cell r="H3">
            <v>45839</v>
          </cell>
        </row>
      </sheetData>
      <sheetData sheetId="3">
        <row r="2">
          <cell r="H2">
            <v>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A3">
            <v>45658</v>
          </cell>
        </row>
        <row r="4">
          <cell r="A4">
            <v>45685</v>
          </cell>
          <cell r="B4">
            <v>45683</v>
          </cell>
        </row>
        <row r="5">
          <cell r="A5">
            <v>45686</v>
          </cell>
          <cell r="B5">
            <v>45696</v>
          </cell>
        </row>
        <row r="6">
          <cell r="A6">
            <v>45687</v>
          </cell>
        </row>
        <row r="7">
          <cell r="A7">
            <v>45688</v>
          </cell>
        </row>
        <row r="8">
          <cell r="A8">
            <v>45689</v>
          </cell>
        </row>
        <row r="9">
          <cell r="A9">
            <v>45690</v>
          </cell>
        </row>
        <row r="10">
          <cell r="A10">
            <v>45691</v>
          </cell>
        </row>
        <row r="11">
          <cell r="A11">
            <v>45692</v>
          </cell>
        </row>
        <row r="12">
          <cell r="A12">
            <v>45751</v>
          </cell>
        </row>
        <row r="13">
          <cell r="A13">
            <v>45752</v>
          </cell>
        </row>
        <row r="14">
          <cell r="A14">
            <v>45753</v>
          </cell>
        </row>
        <row r="15">
          <cell r="A15">
            <v>45778</v>
          </cell>
          <cell r="B15">
            <v>45774</v>
          </cell>
        </row>
        <row r="16">
          <cell r="A16">
            <v>45779</v>
          </cell>
        </row>
        <row r="17">
          <cell r="A17">
            <v>45780</v>
          </cell>
        </row>
        <row r="18">
          <cell r="A18">
            <v>45781</v>
          </cell>
        </row>
        <row r="19">
          <cell r="A19">
            <v>45782</v>
          </cell>
        </row>
        <row r="20">
          <cell r="A20">
            <v>45808</v>
          </cell>
        </row>
        <row r="21">
          <cell r="A21">
            <v>45809</v>
          </cell>
        </row>
        <row r="22">
          <cell r="A22">
            <v>45810</v>
          </cell>
        </row>
        <row r="23">
          <cell r="A23">
            <v>45931</v>
          </cell>
          <cell r="B23">
            <v>45928</v>
          </cell>
        </row>
        <row r="24">
          <cell r="A24">
            <v>45932</v>
          </cell>
          <cell r="B24">
            <v>45941</v>
          </cell>
        </row>
        <row r="25">
          <cell r="A25">
            <v>45933</v>
          </cell>
        </row>
        <row r="26">
          <cell r="A26">
            <v>45934</v>
          </cell>
        </row>
        <row r="27">
          <cell r="A27">
            <v>45935</v>
          </cell>
        </row>
        <row r="28">
          <cell r="A28">
            <v>45936</v>
          </cell>
        </row>
        <row r="29">
          <cell r="A29">
            <v>45937</v>
          </cell>
        </row>
        <row r="30">
          <cell r="A30">
            <v>45938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lex.a.li@mahle.com" TargetMode="External"/><Relationship Id="rId13" Type="http://schemas.openxmlformats.org/officeDocument/2006/relationships/drawing" Target="../drawings/drawing2.xml"/><Relationship Id="rId3" Type="http://schemas.openxmlformats.org/officeDocument/2006/relationships/hyperlink" Target="mailto:bin.b.huang@mahle.com" TargetMode="External"/><Relationship Id="rId7" Type="http://schemas.openxmlformats.org/officeDocument/2006/relationships/hyperlink" Target="mailto:mingyu.ma@mahle.com" TargetMode="External"/><Relationship Id="rId12" Type="http://schemas.openxmlformats.org/officeDocument/2006/relationships/hyperlink" Target="mailto:libo.zhu@mahle.com" TargetMode="External"/><Relationship Id="rId2" Type="http://schemas.openxmlformats.org/officeDocument/2006/relationships/hyperlink" Target="mailto:lilong.xu@mahle.com" TargetMode="External"/><Relationship Id="rId1" Type="http://schemas.openxmlformats.org/officeDocument/2006/relationships/hyperlink" Target="mailto:alex.zhu@mahle.com" TargetMode="External"/><Relationship Id="rId6" Type="http://schemas.openxmlformats.org/officeDocument/2006/relationships/hyperlink" Target="mailto:jordan.zhou@mahle.com" TargetMode="External"/><Relationship Id="rId11" Type="http://schemas.openxmlformats.org/officeDocument/2006/relationships/hyperlink" Target="mailto:shenglin.chen@mahle.com" TargetMode="External"/><Relationship Id="rId5" Type="http://schemas.openxmlformats.org/officeDocument/2006/relationships/hyperlink" Target="mailto:jason.c.zhang@mahle.com" TargetMode="External"/><Relationship Id="rId10" Type="http://schemas.openxmlformats.org/officeDocument/2006/relationships/hyperlink" Target="mailto:min.xiong@mahle.com" TargetMode="External"/><Relationship Id="rId4" Type="http://schemas.openxmlformats.org/officeDocument/2006/relationships/hyperlink" Target="mailto:feihao.liu@mahle.com" TargetMode="External"/><Relationship Id="rId9" Type="http://schemas.openxmlformats.org/officeDocument/2006/relationships/hyperlink" Target="mailto:stephen.zeng@mahle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98758-AFAC-406C-923C-03E81F98E249}">
  <sheetPr codeName="Sheet2">
    <tabColor theme="5"/>
    <outlinePr summaryBelow="0"/>
  </sheetPr>
  <dimension ref="A1:J38"/>
  <sheetViews>
    <sheetView showGridLines="0" zoomScale="85" zoomScaleNormal="85" workbookViewId="0">
      <pane ySplit="4" topLeftCell="A5" activePane="bottomLeft" state="frozen"/>
      <selection pane="bottomLeft" activeCell="A12" sqref="A12:A15"/>
    </sheetView>
  </sheetViews>
  <sheetFormatPr defaultColWidth="9" defaultRowHeight="14.4"/>
  <cols>
    <col min="1" max="1" width="28" style="5" customWidth="1"/>
    <col min="2" max="2" width="29.44140625" style="5" customWidth="1"/>
    <col min="3" max="3" width="17.6640625" style="5" customWidth="1"/>
    <col min="4" max="4" width="15.109375" style="5" customWidth="1"/>
    <col min="5" max="5" width="16.109375" style="5" customWidth="1"/>
    <col min="6" max="6" width="17.33203125" style="5" customWidth="1"/>
    <col min="7" max="7" width="21.88671875" style="5" customWidth="1"/>
    <col min="8" max="8" width="19.6640625" style="5" customWidth="1"/>
    <col min="9" max="9" width="41.6640625" style="5" customWidth="1"/>
    <col min="10" max="16384" width="9" style="5"/>
  </cols>
  <sheetData>
    <row r="1" spans="1:10" ht="25.8">
      <c r="A1" s="55" t="s">
        <v>114</v>
      </c>
      <c r="B1" s="55"/>
    </row>
    <row r="2" spans="1:10" ht="16.95" customHeight="1">
      <c r="A2" s="40" t="s">
        <v>115</v>
      </c>
      <c r="B2" s="13"/>
    </row>
    <row r="3" spans="1:10" ht="13.2" customHeight="1"/>
    <row r="4" spans="1:10" ht="32.25" customHeight="1">
      <c r="A4" s="42" t="s">
        <v>116</v>
      </c>
      <c r="B4" s="42" t="s">
        <v>86</v>
      </c>
      <c r="C4" s="42" t="s">
        <v>117</v>
      </c>
      <c r="D4" s="42" t="s">
        <v>118</v>
      </c>
      <c r="E4" s="42" t="s">
        <v>119</v>
      </c>
      <c r="F4" s="42" t="s">
        <v>120</v>
      </c>
      <c r="G4" s="42" t="s">
        <v>121</v>
      </c>
      <c r="H4" s="42" t="s">
        <v>122</v>
      </c>
      <c r="I4" s="42" t="s">
        <v>59</v>
      </c>
    </row>
    <row r="5" spans="1:10" ht="23.25" customHeight="1">
      <c r="A5" s="56" t="s">
        <v>123</v>
      </c>
      <c r="B5" s="4" t="s">
        <v>124</v>
      </c>
      <c r="C5" s="6" t="s">
        <v>125</v>
      </c>
      <c r="D5" s="6" t="s">
        <v>126</v>
      </c>
      <c r="E5" s="6" t="s">
        <v>6</v>
      </c>
      <c r="F5" s="43">
        <v>2026.11</v>
      </c>
      <c r="G5" s="6"/>
      <c r="H5" s="6"/>
      <c r="I5" s="6"/>
      <c r="J5"/>
    </row>
    <row r="6" spans="1:10" ht="23.25" customHeight="1">
      <c r="A6" s="57"/>
      <c r="B6" s="4" t="s">
        <v>127</v>
      </c>
      <c r="C6" s="6" t="s">
        <v>125</v>
      </c>
      <c r="D6" s="6" t="s">
        <v>128</v>
      </c>
      <c r="E6" s="6" t="s">
        <v>6</v>
      </c>
      <c r="F6" s="6"/>
      <c r="G6" s="6"/>
      <c r="H6" s="6"/>
      <c r="I6" s="6"/>
    </row>
    <row r="7" spans="1:10" ht="23.25" customHeight="1">
      <c r="A7" s="57"/>
      <c r="B7" s="4" t="s">
        <v>129</v>
      </c>
      <c r="C7" s="6" t="s">
        <v>125</v>
      </c>
      <c r="D7" s="6" t="s">
        <v>130</v>
      </c>
      <c r="E7" s="6" t="s">
        <v>6</v>
      </c>
      <c r="F7" s="6"/>
      <c r="G7" s="6"/>
      <c r="H7" s="6"/>
      <c r="I7" s="6"/>
    </row>
    <row r="8" spans="1:10" ht="23.25" customHeight="1">
      <c r="A8" s="57"/>
      <c r="B8" s="4" t="s">
        <v>131</v>
      </c>
      <c r="C8" s="6" t="s">
        <v>132</v>
      </c>
      <c r="D8" s="6"/>
      <c r="E8" s="6" t="s">
        <v>43</v>
      </c>
      <c r="F8" s="6"/>
      <c r="G8" s="6"/>
      <c r="H8" s="6"/>
      <c r="I8" s="6"/>
    </row>
    <row r="9" spans="1:10" ht="23.25" customHeight="1">
      <c r="A9" s="57"/>
      <c r="B9" s="4" t="s">
        <v>133</v>
      </c>
      <c r="C9" s="6" t="s">
        <v>134</v>
      </c>
      <c r="D9" s="6"/>
      <c r="E9" s="6" t="s">
        <v>43</v>
      </c>
      <c r="F9" s="6"/>
      <c r="G9" s="6"/>
      <c r="H9" s="6"/>
      <c r="I9" s="6"/>
    </row>
    <row r="10" spans="1:10" ht="23.25" customHeight="1">
      <c r="A10" s="57"/>
      <c r="B10" s="4" t="s">
        <v>135</v>
      </c>
      <c r="C10" s="6" t="s">
        <v>134</v>
      </c>
      <c r="D10" s="6"/>
      <c r="E10" s="6" t="s">
        <v>6</v>
      </c>
      <c r="F10" s="6"/>
      <c r="G10" s="6"/>
      <c r="H10" s="6"/>
      <c r="I10" s="6"/>
    </row>
    <row r="11" spans="1:10" ht="23.25" customHeight="1">
      <c r="A11" s="58"/>
      <c r="B11" s="4" t="s">
        <v>136</v>
      </c>
      <c r="C11" s="6" t="s">
        <v>134</v>
      </c>
      <c r="D11" s="6"/>
      <c r="E11" s="6" t="s">
        <v>6</v>
      </c>
      <c r="F11" s="6"/>
      <c r="G11" s="6"/>
      <c r="H11" s="6"/>
      <c r="I11" s="6"/>
    </row>
    <row r="12" spans="1:10" ht="23.25" customHeight="1">
      <c r="A12" s="56" t="s">
        <v>137</v>
      </c>
      <c r="B12" s="6" t="s">
        <v>138</v>
      </c>
      <c r="C12" s="6" t="s">
        <v>134</v>
      </c>
      <c r="D12" s="6"/>
      <c r="E12" s="6" t="s">
        <v>6</v>
      </c>
      <c r="F12" s="6"/>
      <c r="G12" s="6"/>
      <c r="H12" s="6"/>
      <c r="I12" s="6"/>
    </row>
    <row r="13" spans="1:10" ht="23.25" customHeight="1">
      <c r="A13" s="57"/>
      <c r="B13" s="6" t="s">
        <v>165</v>
      </c>
      <c r="C13" s="6" t="s">
        <v>134</v>
      </c>
      <c r="D13" s="6"/>
      <c r="E13" s="6" t="s">
        <v>6</v>
      </c>
      <c r="F13" s="6"/>
      <c r="G13" s="6"/>
      <c r="H13" s="6"/>
      <c r="I13" s="6"/>
    </row>
    <row r="14" spans="1:10" ht="23.25" customHeight="1">
      <c r="A14" s="57"/>
      <c r="B14" s="6"/>
      <c r="C14" s="6"/>
      <c r="D14" s="6"/>
      <c r="E14" s="6"/>
      <c r="F14" s="6"/>
      <c r="G14" s="6"/>
      <c r="H14" s="6"/>
      <c r="I14" s="6"/>
    </row>
    <row r="15" spans="1:10" ht="23.25" customHeight="1">
      <c r="A15" s="58"/>
      <c r="B15" s="6"/>
      <c r="C15" s="6"/>
      <c r="D15" s="6"/>
      <c r="E15" s="6"/>
      <c r="F15" s="6"/>
      <c r="G15" s="6"/>
      <c r="H15" s="6"/>
      <c r="I15" s="6"/>
    </row>
    <row r="16" spans="1:10" ht="23.25" customHeight="1">
      <c r="A16" s="56" t="s">
        <v>139</v>
      </c>
      <c r="B16" s="44"/>
      <c r="C16" s="6"/>
      <c r="D16" s="6"/>
      <c r="E16" s="6"/>
      <c r="F16" s="6"/>
      <c r="G16" s="6"/>
      <c r="H16" s="6"/>
      <c r="I16" s="6"/>
    </row>
    <row r="17" spans="1:9" ht="23.25" customHeight="1">
      <c r="A17" s="57"/>
      <c r="B17" s="6"/>
      <c r="C17" s="6"/>
      <c r="D17" s="6"/>
      <c r="E17" s="6"/>
      <c r="F17" s="6"/>
      <c r="G17" s="6"/>
      <c r="H17" s="6"/>
      <c r="I17" s="6"/>
    </row>
    <row r="18" spans="1:9" ht="23.25" customHeight="1">
      <c r="A18" s="57"/>
      <c r="B18" s="6"/>
      <c r="C18" s="6"/>
      <c r="D18" s="6"/>
      <c r="E18" s="6"/>
      <c r="F18" s="6"/>
      <c r="G18" s="6"/>
      <c r="H18" s="6"/>
      <c r="I18" s="6"/>
    </row>
    <row r="19" spans="1:9" ht="23.25" customHeight="1">
      <c r="A19" s="58"/>
      <c r="B19" s="6"/>
      <c r="C19" s="6"/>
      <c r="D19" s="6"/>
      <c r="E19" s="6"/>
      <c r="F19" s="6"/>
      <c r="G19" s="6"/>
      <c r="H19" s="6"/>
      <c r="I19" s="6"/>
    </row>
    <row r="20" spans="1:9" ht="23.25" customHeight="1">
      <c r="A20" s="56" t="s">
        <v>140</v>
      </c>
      <c r="B20" s="12" t="s">
        <v>141</v>
      </c>
      <c r="C20" s="6"/>
      <c r="D20" s="6"/>
      <c r="E20" s="6"/>
      <c r="F20" s="6"/>
      <c r="G20" s="6"/>
      <c r="H20" s="6"/>
      <c r="I20" s="6"/>
    </row>
    <row r="21" spans="1:9" ht="23.25" customHeight="1">
      <c r="A21" s="57"/>
      <c r="B21" s="12" t="s">
        <v>142</v>
      </c>
      <c r="C21" s="6"/>
      <c r="D21" s="6"/>
      <c r="E21" s="6"/>
      <c r="F21" s="6"/>
      <c r="G21" s="6"/>
      <c r="H21" s="6"/>
      <c r="I21" s="6"/>
    </row>
    <row r="22" spans="1:9" ht="23.25" customHeight="1">
      <c r="A22" s="57"/>
      <c r="B22" s="12" t="s">
        <v>143</v>
      </c>
      <c r="C22" s="6"/>
      <c r="D22" s="6"/>
      <c r="E22" s="6"/>
      <c r="F22" s="6"/>
      <c r="G22" s="6"/>
      <c r="H22" s="6"/>
      <c r="I22" s="6"/>
    </row>
    <row r="23" spans="1:9" ht="19.2" customHeight="1">
      <c r="A23" s="58"/>
      <c r="B23" s="6"/>
      <c r="C23" s="6"/>
      <c r="D23" s="6"/>
      <c r="E23" s="6"/>
      <c r="F23" s="6"/>
      <c r="G23" s="6"/>
      <c r="H23" s="6"/>
      <c r="I23" s="6"/>
    </row>
    <row r="24" spans="1:9" ht="23.25" customHeight="1">
      <c r="A24" s="44" t="s">
        <v>144</v>
      </c>
      <c r="B24" s="6" t="s">
        <v>144</v>
      </c>
      <c r="C24" s="6"/>
      <c r="D24" s="6"/>
      <c r="E24" s="6"/>
      <c r="F24" s="6"/>
      <c r="G24" s="6" t="s">
        <v>151</v>
      </c>
      <c r="H24" s="6" t="s">
        <v>41</v>
      </c>
      <c r="I24" s="6"/>
    </row>
    <row r="25" spans="1:9" ht="23.25" customHeight="1">
      <c r="A25" s="44" t="s">
        <v>145</v>
      </c>
      <c r="B25" s="6" t="s">
        <v>145</v>
      </c>
      <c r="C25" s="6"/>
      <c r="D25" s="6"/>
      <c r="E25" s="6"/>
      <c r="F25" s="6"/>
      <c r="G25" s="6"/>
      <c r="H25" s="6"/>
      <c r="I25" s="6"/>
    </row>
    <row r="26" spans="1:9" ht="23.25" customHeight="1">
      <c r="A26" s="44" t="s">
        <v>146</v>
      </c>
      <c r="B26" s="6" t="s">
        <v>146</v>
      </c>
      <c r="C26" s="6"/>
      <c r="D26" s="6"/>
      <c r="E26" s="6"/>
      <c r="F26" s="6"/>
      <c r="G26" s="6"/>
      <c r="H26" s="6"/>
      <c r="I26" s="6"/>
    </row>
    <row r="27" spans="1:9" ht="23.25" customHeight="1">
      <c r="A27" s="44" t="s">
        <v>147</v>
      </c>
      <c r="B27" s="6" t="s">
        <v>147</v>
      </c>
      <c r="C27" s="6"/>
      <c r="D27" s="6"/>
      <c r="E27" s="6"/>
      <c r="F27" s="6"/>
      <c r="G27" s="6"/>
      <c r="H27" s="6"/>
      <c r="I27" s="6"/>
    </row>
    <row r="28" spans="1:9" ht="22.5" customHeight="1">
      <c r="A28" s="45" t="s">
        <v>148</v>
      </c>
      <c r="B28" s="6" t="s">
        <v>148</v>
      </c>
      <c r="C28" s="6"/>
      <c r="D28" s="6"/>
      <c r="E28" s="6"/>
      <c r="F28" s="6"/>
      <c r="G28" s="6"/>
      <c r="H28" s="6"/>
      <c r="I28" s="6"/>
    </row>
    <row r="29" spans="1:9" ht="23.25" customHeight="1">
      <c r="A29" s="6"/>
      <c r="B29" s="46"/>
      <c r="C29" s="6"/>
      <c r="D29" s="6"/>
      <c r="E29" s="6"/>
      <c r="F29" s="6"/>
      <c r="G29" s="6"/>
      <c r="H29" s="6"/>
      <c r="I29" s="6"/>
    </row>
    <row r="30" spans="1:9" ht="23.25" customHeight="1">
      <c r="A30" s="6"/>
      <c r="B30" s="6"/>
      <c r="C30" s="6"/>
      <c r="D30" s="6"/>
      <c r="E30" s="6"/>
      <c r="F30" s="6"/>
      <c r="G30" s="6"/>
      <c r="H30" s="6"/>
      <c r="I30" s="6"/>
    </row>
    <row r="31" spans="1:9" ht="23.25" customHeight="1">
      <c r="A31" s="6"/>
      <c r="B31" s="6"/>
      <c r="C31" s="6"/>
      <c r="D31" s="6"/>
      <c r="E31" s="6"/>
      <c r="F31" s="6"/>
      <c r="G31" s="6"/>
      <c r="H31" s="6"/>
      <c r="I31" s="6"/>
    </row>
    <row r="32" spans="1:9" ht="23.25" customHeight="1">
      <c r="A32" s="6"/>
      <c r="B32" s="6"/>
      <c r="C32" s="6"/>
      <c r="D32" s="6"/>
      <c r="E32" s="6"/>
      <c r="F32" s="6"/>
      <c r="G32" s="6"/>
      <c r="H32" s="6"/>
      <c r="I32" s="6"/>
    </row>
    <row r="33" spans="1:9" ht="23.25" customHeight="1">
      <c r="A33" s="6"/>
      <c r="B33" s="6"/>
      <c r="C33" s="6"/>
      <c r="D33" s="6"/>
      <c r="E33" s="6"/>
      <c r="F33" s="6"/>
      <c r="G33" s="6"/>
      <c r="H33" s="6"/>
      <c r="I33" s="6"/>
    </row>
    <row r="34" spans="1:9" ht="23.25" customHeight="1">
      <c r="A34" s="6"/>
      <c r="B34" s="6"/>
      <c r="C34" s="6"/>
      <c r="D34" s="6"/>
      <c r="E34" s="6"/>
      <c r="F34" s="6"/>
      <c r="G34" s="6"/>
      <c r="H34" s="6"/>
      <c r="I34" s="6"/>
    </row>
    <row r="35" spans="1:9" ht="23.25" customHeight="1">
      <c r="A35" s="6"/>
      <c r="B35" s="6"/>
      <c r="C35" s="6"/>
      <c r="D35" s="6"/>
      <c r="E35" s="6"/>
      <c r="F35" s="6"/>
      <c r="G35" s="6"/>
      <c r="H35" s="6"/>
      <c r="I35" s="6"/>
    </row>
    <row r="36" spans="1:9" ht="23.25" customHeight="1">
      <c r="A36" s="6"/>
      <c r="B36" s="6"/>
      <c r="C36" s="6"/>
      <c r="D36" s="6"/>
      <c r="E36" s="6"/>
      <c r="F36" s="6"/>
      <c r="G36" s="6"/>
      <c r="H36" s="6"/>
      <c r="I36" s="6"/>
    </row>
    <row r="37" spans="1:9" ht="23.25" customHeight="1">
      <c r="A37" s="6"/>
      <c r="B37" s="6"/>
      <c r="C37" s="6"/>
      <c r="D37" s="6"/>
      <c r="E37" s="6"/>
      <c r="F37" s="6"/>
      <c r="G37" s="6"/>
      <c r="H37" s="6"/>
      <c r="I37" s="6"/>
    </row>
    <row r="38" spans="1:9" ht="23.25" customHeight="1">
      <c r="A38" s="6"/>
      <c r="B38" s="6"/>
      <c r="C38" s="6"/>
      <c r="D38" s="6"/>
      <c r="E38" s="6"/>
      <c r="F38" s="6"/>
      <c r="G38" s="6"/>
      <c r="H38" s="6"/>
      <c r="I38" s="6"/>
    </row>
  </sheetData>
  <autoFilter ref="A4:I5" xr:uid="{E9580FF3-5050-4E9E-A163-6FB54B96F571}"/>
  <dataConsolidate/>
  <mergeCells count="5">
    <mergeCell ref="A1:B1"/>
    <mergeCell ref="A5:A11"/>
    <mergeCell ref="A12:A15"/>
    <mergeCell ref="A16:A19"/>
    <mergeCell ref="A20:A23"/>
  </mergeCells>
  <phoneticPr fontId="20" type="noConversion"/>
  <dataValidations count="2">
    <dataValidation type="list" allowBlank="1" showInputMessage="1" showErrorMessage="1" sqref="E5:E29" xr:uid="{1A0620EA-E2E2-45D4-A187-09E8F5E6E7DB}">
      <formula1>"Not Start,In Progress,Done,Discard"</formula1>
    </dataValidation>
    <dataValidation type="list" allowBlank="1" showInputMessage="1" showErrorMessage="1" sqref="C5:C28" xr:uid="{2579924B-B846-4373-9766-B7BE6AA33C8B}">
      <formula1>"Outsourced,Internal,TBD "</formula1>
    </dataValidation>
  </dataValidations>
  <hyperlinks>
    <hyperlink ref="A5" location="'Platform_800V_45CC '!A1" display="Platform_400V_36CC " xr:uid="{1BF8A5C3-42FC-42A3-860F-C6361007E7E9}"/>
    <hyperlink ref="A5:A11" location="'E-Compressor'!A1" display="E-Compressor" xr:uid="{1BC930D5-FA1A-4D74-80A5-8512A401BD26}"/>
    <hyperlink ref="A20" location="'Platform_800V_45CC '!A1" display="Platform_400V_36CC " xr:uid="{A54C0180-6209-4208-86A1-352DDF91C007}"/>
    <hyperlink ref="A24" location="'HR12'!A1" display="HR12" xr:uid="{FB821316-913A-4A2F-B708-FF9073B48898}"/>
    <hyperlink ref="A25" location="'HR12'!A1" display="HR12" xr:uid="{8CF0947A-C216-4D1F-B0FA-038E8F923842}"/>
    <hyperlink ref="A28" location="Main_Task!A1" display="Main Task" xr:uid="{C8BAB4D3-60D4-485F-8B90-20D71336B502}"/>
    <hyperlink ref="A26" location="CyberSecurity!A1" display="CyberSecurity" xr:uid="{0B54D254-E312-414A-A544-2DB9AE2666E3}"/>
    <hyperlink ref="A27" location="Toolchain!A1" display="Toolchain" xr:uid="{FC5CDE4F-4950-4278-BA44-71E4A9618B35}"/>
    <hyperlink ref="A12" location="'Platform_800V_45CC '!A1" display="Platform_400V_36CC " xr:uid="{ED8AF5B8-B729-4B26-9753-A4C5C48FCF6C}"/>
    <hyperlink ref="A16" location="'Platform_800V_45CC '!A1" display="Platform_400V_36CC " xr:uid="{8E06A522-8262-4F9F-BE98-EECA71D6F750}"/>
    <hyperlink ref="A12:A15" location="'E-CoolingPump'!A1" display="E-CoolingPump" xr:uid="{0BE7A319-9A17-4E6A-BBDC-B5487A7D56D8}"/>
    <hyperlink ref="A16:A19" location="'E-CoolingFan'!A1" display="E-CoolingFan" xr:uid="{CFF235A7-8BD2-4543-A34A-A5E039BE5950}"/>
    <hyperlink ref="A20:A23" location="'OBC&amp;DCLV'!A1" display="OBC&amp;DCLV" xr:uid="{31E28B23-78B4-44BE-9EC2-E8C4E37ADBEB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6F5998-C21D-4035-A7D5-EF96D6757D5C}">
          <x14:formula1>
            <xm:f>'PZDRW Team Members'!$A$3:$A$15</xm:f>
          </x14:formula1>
          <xm:sqref>G5:H38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CF71C-5965-4FB1-B6DE-89EAFBCB0260}">
  <sheetPr codeName="Sheet6">
    <tabColor theme="8"/>
  </sheetPr>
  <dimension ref="A1:N15"/>
  <sheetViews>
    <sheetView showGridLines="0" tabSelected="1" workbookViewId="0">
      <selection activeCell="G19" sqref="G19"/>
    </sheetView>
  </sheetViews>
  <sheetFormatPr defaultRowHeight="14.4"/>
  <cols>
    <col min="1" max="1" width="12.21875" bestFit="1" customWidth="1"/>
    <col min="2" max="2" width="6" bestFit="1" customWidth="1"/>
    <col min="3" max="3" width="11.44140625" bestFit="1" customWidth="1"/>
    <col min="4" max="4" width="16.77734375" bestFit="1" customWidth="1"/>
    <col min="5" max="5" width="13.21875" customWidth="1"/>
    <col min="6" max="6" width="24.44140625" customWidth="1"/>
    <col min="7" max="7" width="85" customWidth="1"/>
  </cols>
  <sheetData>
    <row r="1" spans="1:14" ht="24" customHeight="1">
      <c r="A1" s="59" t="s">
        <v>8</v>
      </c>
      <c r="B1" s="59"/>
      <c r="C1" s="59"/>
      <c r="D1" s="59"/>
      <c r="E1" s="59"/>
      <c r="F1" s="59"/>
      <c r="G1" s="59"/>
    </row>
    <row r="2" spans="1:14">
      <c r="A2" s="18" t="s">
        <v>9</v>
      </c>
      <c r="B2" s="19" t="s">
        <v>10</v>
      </c>
      <c r="C2" s="19" t="s">
        <v>11</v>
      </c>
      <c r="D2" s="19" t="s">
        <v>12</v>
      </c>
      <c r="E2" s="19" t="s">
        <v>13</v>
      </c>
      <c r="F2" s="19" t="s">
        <v>45</v>
      </c>
      <c r="G2" s="20" t="s">
        <v>14</v>
      </c>
      <c r="N2" s="1"/>
    </row>
    <row r="3" spans="1:14">
      <c r="A3" s="47" t="s">
        <v>36</v>
      </c>
      <c r="B3" s="2" t="s">
        <v>15</v>
      </c>
      <c r="C3" s="2" t="s">
        <v>16</v>
      </c>
      <c r="D3" s="2" t="s">
        <v>17</v>
      </c>
      <c r="E3" s="3">
        <v>18114906812</v>
      </c>
      <c r="F3" s="17" t="s">
        <v>53</v>
      </c>
      <c r="G3" s="39"/>
      <c r="N3" s="1"/>
    </row>
    <row r="4" spans="1:14">
      <c r="A4" s="48" t="s">
        <v>39</v>
      </c>
      <c r="B4" s="2" t="s">
        <v>15</v>
      </c>
      <c r="C4" s="2" t="s">
        <v>16</v>
      </c>
      <c r="D4" s="2" t="s">
        <v>19</v>
      </c>
      <c r="E4" s="3">
        <v>15850690925</v>
      </c>
      <c r="F4" s="17" t="s">
        <v>54</v>
      </c>
      <c r="G4" s="39"/>
    </row>
    <row r="5" spans="1:14">
      <c r="A5" s="48" t="s">
        <v>38</v>
      </c>
      <c r="B5" s="2" t="s">
        <v>15</v>
      </c>
      <c r="C5" s="2" t="s">
        <v>16</v>
      </c>
      <c r="D5" s="2" t="s">
        <v>19</v>
      </c>
      <c r="E5" s="4"/>
      <c r="F5" s="17" t="s">
        <v>150</v>
      </c>
      <c r="G5" s="4"/>
    </row>
    <row r="6" spans="1:14">
      <c r="A6" s="49" t="s">
        <v>149</v>
      </c>
      <c r="B6" s="2" t="s">
        <v>15</v>
      </c>
      <c r="C6" s="2" t="s">
        <v>16</v>
      </c>
      <c r="D6" s="2" t="s">
        <v>19</v>
      </c>
      <c r="E6" s="3">
        <v>15751018155</v>
      </c>
      <c r="F6" s="41" t="s">
        <v>112</v>
      </c>
      <c r="G6" s="39"/>
    </row>
    <row r="7" spans="1:14">
      <c r="A7" s="50" t="s">
        <v>20</v>
      </c>
      <c r="B7" s="2" t="s">
        <v>15</v>
      </c>
      <c r="C7" s="2" t="s">
        <v>16</v>
      </c>
      <c r="D7" s="2" t="s">
        <v>19</v>
      </c>
      <c r="E7" s="3" t="s">
        <v>21</v>
      </c>
      <c r="F7" s="16" t="s">
        <v>22</v>
      </c>
      <c r="G7" s="39"/>
    </row>
    <row r="8" spans="1:14">
      <c r="A8" s="50" t="s">
        <v>34</v>
      </c>
      <c r="B8" s="2" t="s">
        <v>15</v>
      </c>
      <c r="C8" s="2" t="s">
        <v>16</v>
      </c>
      <c r="D8" s="2" t="s">
        <v>19</v>
      </c>
      <c r="E8" s="3">
        <v>18503397615</v>
      </c>
      <c r="F8" s="16" t="s">
        <v>35</v>
      </c>
      <c r="G8" s="39"/>
      <c r="N8" s="1"/>
    </row>
    <row r="9" spans="1:14">
      <c r="A9" s="50" t="s">
        <v>32</v>
      </c>
      <c r="B9" s="2" t="s">
        <v>15</v>
      </c>
      <c r="C9" s="2" t="s">
        <v>111</v>
      </c>
      <c r="D9" s="2" t="s">
        <v>19</v>
      </c>
      <c r="E9" s="3">
        <v>18846016903</v>
      </c>
      <c r="F9" s="16" t="s">
        <v>33</v>
      </c>
      <c r="G9" s="39"/>
      <c r="N9" s="1"/>
    </row>
    <row r="10" spans="1:14">
      <c r="A10" s="51" t="s">
        <v>23</v>
      </c>
      <c r="B10" s="2" t="s">
        <v>15</v>
      </c>
      <c r="C10" s="2" t="s">
        <v>16</v>
      </c>
      <c r="D10" s="2" t="s">
        <v>19</v>
      </c>
      <c r="E10" s="3">
        <v>18651181168</v>
      </c>
      <c r="F10" s="17" t="s">
        <v>24</v>
      </c>
      <c r="G10" s="39"/>
    </row>
    <row r="11" spans="1:14">
      <c r="A11" s="51" t="s">
        <v>37</v>
      </c>
      <c r="B11" s="2" t="s">
        <v>15</v>
      </c>
      <c r="C11" s="2" t="s">
        <v>16</v>
      </c>
      <c r="D11" s="2" t="s">
        <v>19</v>
      </c>
      <c r="E11" s="3"/>
      <c r="F11" s="16" t="s">
        <v>55</v>
      </c>
      <c r="G11" s="39"/>
    </row>
    <row r="12" spans="1:14">
      <c r="A12" s="51" t="s">
        <v>25</v>
      </c>
      <c r="B12" s="2" t="s">
        <v>15</v>
      </c>
      <c r="C12" s="2" t="s">
        <v>16</v>
      </c>
      <c r="D12" s="2" t="s">
        <v>19</v>
      </c>
      <c r="E12" s="3" t="s">
        <v>26</v>
      </c>
      <c r="F12" s="17" t="s">
        <v>27</v>
      </c>
      <c r="G12" s="39"/>
    </row>
    <row r="13" spans="1:14">
      <c r="A13" s="52" t="s">
        <v>18</v>
      </c>
      <c r="B13" s="2" t="s">
        <v>15</v>
      </c>
      <c r="C13" s="2" t="s">
        <v>16</v>
      </c>
      <c r="D13" s="2" t="s">
        <v>19</v>
      </c>
      <c r="E13" s="3">
        <v>18993573429</v>
      </c>
      <c r="F13" s="15" t="s">
        <v>46</v>
      </c>
      <c r="G13" s="39"/>
    </row>
    <row r="14" spans="1:14">
      <c r="A14" s="52" t="s">
        <v>28</v>
      </c>
      <c r="B14" s="2" t="s">
        <v>15</v>
      </c>
      <c r="C14" s="2" t="s">
        <v>16</v>
      </c>
      <c r="D14" s="2" t="s">
        <v>19</v>
      </c>
      <c r="E14" s="3">
        <v>13313843160</v>
      </c>
      <c r="F14" s="16" t="s">
        <v>29</v>
      </c>
      <c r="G14" s="39"/>
    </row>
    <row r="15" spans="1:14">
      <c r="A15" s="53" t="s">
        <v>30</v>
      </c>
      <c r="B15" s="2" t="s">
        <v>15</v>
      </c>
      <c r="C15" s="2" t="s">
        <v>16</v>
      </c>
      <c r="D15" s="2" t="s">
        <v>19</v>
      </c>
      <c r="E15" s="3">
        <v>18662237910</v>
      </c>
      <c r="F15" s="17" t="s">
        <v>31</v>
      </c>
      <c r="G15" s="39"/>
      <c r="H15" s="1"/>
    </row>
  </sheetData>
  <mergeCells count="1">
    <mergeCell ref="A1:G1"/>
  </mergeCells>
  <phoneticPr fontId="20" type="noConversion"/>
  <hyperlinks>
    <hyperlink ref="F4" r:id="rId1" xr:uid="{41109A80-C5D5-4719-9D5A-C42363B105B4}"/>
    <hyperlink ref="F3" r:id="rId2" xr:uid="{A2377BED-9A20-49BA-BEE1-F5D6ADD92E0D}"/>
    <hyperlink ref="F11" r:id="rId3" xr:uid="{9BB140DA-A569-4EC3-8062-10A0B98DF0A9}"/>
    <hyperlink ref="F9" r:id="rId4" xr:uid="{4D650818-C954-43B4-B4C8-128254B4C161}"/>
    <hyperlink ref="F13" r:id="rId5" xr:uid="{37288FDF-110D-470D-9F3A-FD426B627C05}"/>
    <hyperlink ref="F6" r:id="rId6" xr:uid="{DAECC1EC-6BD1-44CE-BE45-3B3ECCDC56FB}"/>
    <hyperlink ref="F7" r:id="rId7" xr:uid="{C8844D51-BAE7-43DB-97FC-D69830D11184}"/>
    <hyperlink ref="F8" r:id="rId8" xr:uid="{0163EBCB-F444-4A36-9BD9-1D4D1019FC5A}"/>
    <hyperlink ref="F12" r:id="rId9" xr:uid="{D9958F50-436F-4A43-BF53-EB96D16BAD86}"/>
    <hyperlink ref="F14" r:id="rId10" xr:uid="{E2E17FD1-939D-412C-900B-F2A7815D1322}"/>
    <hyperlink ref="F15" r:id="rId11" xr:uid="{7593A433-0B22-4CE3-B152-2644FF277E03}"/>
    <hyperlink ref="F10" r:id="rId12" xr:uid="{B4FA2EC6-B64E-4EAA-A2E2-58FF070D323F}"/>
  </hyperlinks>
  <pageMargins left="0.7" right="0.7" top="0.75" bottom="0.75" header="0.3" footer="0.3"/>
  <headerFooter>
    <oddFooter>&amp;L_x000D_&amp;1#&amp;"Calibri"&amp;10&amp;K000000 MAHLE internal restricted (CL2)</oddFooter>
  </headerFooter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61C8A-7911-46E6-83EE-8542DD1E30E2}">
  <sheetPr codeName="Sheet1"/>
  <dimension ref="A1:AY454"/>
  <sheetViews>
    <sheetView showGridLine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0" sqref="E10"/>
    </sheetView>
  </sheetViews>
  <sheetFormatPr defaultColWidth="9" defaultRowHeight="14.4"/>
  <cols>
    <col min="1" max="1" width="23.88671875" style="5" customWidth="1"/>
    <col min="2" max="2" width="30.21875" style="5" customWidth="1"/>
    <col min="3" max="3" width="12" style="10" customWidth="1"/>
    <col min="4" max="4" width="11.6640625" style="10" customWidth="1"/>
    <col min="5" max="5" width="9.8867187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85</v>
      </c>
      <c r="B1" s="10"/>
    </row>
    <row r="2" spans="1:51">
      <c r="A2" s="14" t="s">
        <v>50</v>
      </c>
      <c r="B2" s="10"/>
      <c r="G2" s="5" t="s">
        <v>71</v>
      </c>
      <c r="H2" s="32">
        <v>2</v>
      </c>
      <c r="J2" s="60">
        <f>J3</f>
        <v>45845</v>
      </c>
      <c r="K2" s="61"/>
      <c r="L2" s="61"/>
      <c r="M2" s="61"/>
      <c r="N2" s="61"/>
      <c r="O2" s="61"/>
      <c r="P2" s="62"/>
      <c r="Q2" s="60">
        <f t="shared" ref="Q2" si="0">Q3</f>
        <v>45852</v>
      </c>
      <c r="R2" s="61"/>
      <c r="S2" s="61"/>
      <c r="T2" s="61"/>
      <c r="U2" s="61"/>
      <c r="V2" s="61"/>
      <c r="W2" s="62"/>
      <c r="X2" s="60">
        <f t="shared" ref="X2" si="1">X3</f>
        <v>45859</v>
      </c>
      <c r="Y2" s="61"/>
      <c r="Z2" s="61"/>
      <c r="AA2" s="61"/>
      <c r="AB2" s="61"/>
      <c r="AC2" s="61"/>
      <c r="AD2" s="62"/>
      <c r="AE2" s="60">
        <f t="shared" ref="AE2" si="2">AE3</f>
        <v>45866</v>
      </c>
      <c r="AF2" s="61"/>
      <c r="AG2" s="61"/>
      <c r="AH2" s="61"/>
      <c r="AI2" s="61"/>
      <c r="AJ2" s="61"/>
      <c r="AK2" s="62"/>
      <c r="AL2" s="60">
        <f t="shared" ref="AL2" si="3">AL3</f>
        <v>45873</v>
      </c>
      <c r="AM2" s="61"/>
      <c r="AN2" s="61"/>
      <c r="AO2" s="61"/>
      <c r="AP2" s="61"/>
      <c r="AQ2" s="61"/>
      <c r="AR2" s="62"/>
      <c r="AS2" s="60">
        <f t="shared" ref="AS2" si="4">AS3</f>
        <v>45880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$H$3-WEEKDAY(Project_Start,3)+(Display_Week_Honda28M-1)*7</f>
        <v>45845</v>
      </c>
      <c r="K3" s="28">
        <f>J3+1</f>
        <v>45846</v>
      </c>
      <c r="L3" s="28">
        <f t="shared" ref="L3:AQ3" si="5">K3+1</f>
        <v>45847</v>
      </c>
      <c r="M3" s="28">
        <f t="shared" si="5"/>
        <v>45848</v>
      </c>
      <c r="N3" s="28">
        <f t="shared" si="5"/>
        <v>45849</v>
      </c>
      <c r="O3" s="28">
        <f t="shared" si="5"/>
        <v>45850</v>
      </c>
      <c r="P3" s="29">
        <f t="shared" si="5"/>
        <v>45851</v>
      </c>
      <c r="Q3" s="27">
        <f t="shared" si="5"/>
        <v>45852</v>
      </c>
      <c r="R3" s="28">
        <f t="shared" si="5"/>
        <v>45853</v>
      </c>
      <c r="S3" s="28">
        <f t="shared" si="5"/>
        <v>45854</v>
      </c>
      <c r="T3" s="28">
        <f t="shared" si="5"/>
        <v>45855</v>
      </c>
      <c r="U3" s="28">
        <f t="shared" si="5"/>
        <v>45856</v>
      </c>
      <c r="V3" s="28">
        <f t="shared" si="5"/>
        <v>45857</v>
      </c>
      <c r="W3" s="29">
        <f t="shared" si="5"/>
        <v>45858</v>
      </c>
      <c r="X3" s="27">
        <f t="shared" si="5"/>
        <v>45859</v>
      </c>
      <c r="Y3" s="28">
        <f t="shared" si="5"/>
        <v>45860</v>
      </c>
      <c r="Z3" s="28">
        <f t="shared" si="5"/>
        <v>45861</v>
      </c>
      <c r="AA3" s="28">
        <f t="shared" si="5"/>
        <v>45862</v>
      </c>
      <c r="AB3" s="28">
        <f>AA3+1</f>
        <v>45863</v>
      </c>
      <c r="AC3" s="28">
        <f t="shared" si="5"/>
        <v>45864</v>
      </c>
      <c r="AD3" s="29">
        <f t="shared" si="5"/>
        <v>45865</v>
      </c>
      <c r="AE3" s="27">
        <f t="shared" si="5"/>
        <v>45866</v>
      </c>
      <c r="AF3" s="28">
        <f t="shared" si="5"/>
        <v>45867</v>
      </c>
      <c r="AG3" s="28">
        <f t="shared" si="5"/>
        <v>45868</v>
      </c>
      <c r="AH3" s="28">
        <f t="shared" si="5"/>
        <v>45869</v>
      </c>
      <c r="AI3" s="28">
        <f t="shared" si="5"/>
        <v>45870</v>
      </c>
      <c r="AJ3" s="28">
        <f t="shared" si="5"/>
        <v>45871</v>
      </c>
      <c r="AK3" s="29">
        <f t="shared" si="5"/>
        <v>45872</v>
      </c>
      <c r="AL3" s="27">
        <f t="shared" si="5"/>
        <v>45873</v>
      </c>
      <c r="AM3" s="28">
        <f t="shared" si="5"/>
        <v>45874</v>
      </c>
      <c r="AN3" s="28">
        <f t="shared" si="5"/>
        <v>45875</v>
      </c>
      <c r="AO3" s="28">
        <f t="shared" si="5"/>
        <v>45876</v>
      </c>
      <c r="AP3" s="28">
        <f t="shared" si="5"/>
        <v>45877</v>
      </c>
      <c r="AQ3" s="28">
        <f t="shared" si="5"/>
        <v>45878</v>
      </c>
      <c r="AR3" s="29">
        <f>AQ3+1</f>
        <v>45879</v>
      </c>
      <c r="AS3" s="27">
        <f t="shared" ref="AS3" si="6">AR3+1</f>
        <v>45880</v>
      </c>
      <c r="AT3" s="28">
        <f t="shared" ref="AT3" si="7">AS3+1</f>
        <v>45881</v>
      </c>
      <c r="AU3" s="28">
        <f t="shared" ref="AU3" si="8">AT3+1</f>
        <v>45882</v>
      </c>
      <c r="AV3" s="28">
        <f t="shared" ref="AV3" si="9">AU3+1</f>
        <v>45883</v>
      </c>
      <c r="AW3" s="28">
        <f t="shared" ref="AW3" si="10">AV3+1</f>
        <v>45884</v>
      </c>
      <c r="AX3" s="28">
        <f t="shared" ref="AX3" si="11">AW3+1</f>
        <v>45885</v>
      </c>
      <c r="AY3" s="29">
        <f>AX3+1</f>
        <v>45886</v>
      </c>
    </row>
    <row r="4" spans="1:51" ht="28.5" customHeight="1">
      <c r="A4" s="24" t="s">
        <v>58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P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ref="Q4" si="13">LEFT(TEXT(Q3, "ddd"),1)</f>
        <v>M</v>
      </c>
      <c r="R4" s="25" t="str">
        <f t="shared" ref="R4" si="14">LEFT(TEXT(R3, "ddd"),1)</f>
        <v>T</v>
      </c>
      <c r="S4" s="25" t="str">
        <f t="shared" ref="S4" si="15">LEFT(TEXT(S3, "ddd"),1)</f>
        <v>W</v>
      </c>
      <c r="T4" s="25" t="str">
        <f t="shared" ref="T4" si="16">LEFT(TEXT(T3, "ddd"),1)</f>
        <v>T</v>
      </c>
      <c r="U4" s="25" t="str">
        <f t="shared" ref="U4" si="17">LEFT(TEXT(U3, "ddd"),1)</f>
        <v>F</v>
      </c>
      <c r="V4" s="25" t="str">
        <f t="shared" ref="V4" si="18">LEFT(TEXT(V3, "ddd"),1)</f>
        <v>S</v>
      </c>
      <c r="W4" s="25" t="str">
        <f t="shared" ref="W4" si="19">LEFT(TEXT(W3, "ddd"),1)</f>
        <v>S</v>
      </c>
      <c r="X4" s="25" t="str">
        <f t="shared" ref="X4" si="20">LEFT(TEXT(X3, "ddd"),1)</f>
        <v>M</v>
      </c>
      <c r="Y4" s="25" t="str">
        <f t="shared" ref="Y4" si="21">LEFT(TEXT(Y3, "ddd"),1)</f>
        <v>T</v>
      </c>
      <c r="Z4" s="25" t="str">
        <f t="shared" ref="Z4" si="22">LEFT(TEXT(Z3, "ddd"),1)</f>
        <v>W</v>
      </c>
      <c r="AA4" s="25" t="str">
        <f t="shared" ref="AA4" si="23">LEFT(TEXT(AA3, "ddd"),1)</f>
        <v>T</v>
      </c>
      <c r="AB4" s="25" t="str">
        <f t="shared" ref="AB4" si="24">LEFT(TEXT(AB3, "ddd"),1)</f>
        <v>F</v>
      </c>
      <c r="AC4" s="25" t="str">
        <f t="shared" ref="AC4" si="25">LEFT(TEXT(AC3, "ddd"),1)</f>
        <v>S</v>
      </c>
      <c r="AD4" s="25" t="str">
        <f t="shared" ref="AD4" si="26">LEFT(TEXT(AD3, "ddd"),1)</f>
        <v>S</v>
      </c>
      <c r="AE4" s="25" t="str">
        <f t="shared" ref="AE4" si="27">LEFT(TEXT(AE3, "ddd"),1)</f>
        <v>M</v>
      </c>
      <c r="AF4" s="25" t="str">
        <f t="shared" ref="AF4" si="28">LEFT(TEXT(AF3, "ddd"),1)</f>
        <v>T</v>
      </c>
      <c r="AG4" s="25" t="str">
        <f t="shared" ref="AG4" si="29">LEFT(TEXT(AG3, "ddd"),1)</f>
        <v>W</v>
      </c>
      <c r="AH4" s="25" t="str">
        <f t="shared" ref="AH4" si="30">LEFT(TEXT(AH3, "ddd"),1)</f>
        <v>T</v>
      </c>
      <c r="AI4" s="25" t="str">
        <f t="shared" ref="AI4" si="31">LEFT(TEXT(AI3, "ddd"),1)</f>
        <v>F</v>
      </c>
      <c r="AJ4" s="25" t="str">
        <f t="shared" ref="AJ4" si="32">LEFT(TEXT(AJ3, "ddd"),1)</f>
        <v>S</v>
      </c>
      <c r="AK4" s="25" t="str">
        <f t="shared" ref="AK4" si="33">LEFT(TEXT(AK3, "ddd"),1)</f>
        <v>S</v>
      </c>
      <c r="AL4" s="25" t="str">
        <f t="shared" ref="AL4" si="34">LEFT(TEXT(AL3, "ddd"),1)</f>
        <v>M</v>
      </c>
      <c r="AM4" s="25" t="str">
        <f t="shared" ref="AM4" si="35">LEFT(TEXT(AM3, "ddd"),1)</f>
        <v>T</v>
      </c>
      <c r="AN4" s="25" t="str">
        <f t="shared" ref="AN4" si="36">LEFT(TEXT(AN3, "ddd"),1)</f>
        <v>W</v>
      </c>
      <c r="AO4" s="25" t="str">
        <f t="shared" ref="AO4" si="37">LEFT(TEXT(AO3, "ddd"),1)</f>
        <v>T</v>
      </c>
      <c r="AP4" s="25" t="str">
        <f t="shared" ref="AP4" si="38">LEFT(TEXT(AP3, "ddd"),1)</f>
        <v>F</v>
      </c>
      <c r="AQ4" s="25" t="str">
        <f t="shared" ref="AQ4" si="39">LEFT(TEXT(AQ3, "ddd"),1)</f>
        <v>S</v>
      </c>
      <c r="AR4" s="25" t="str">
        <f t="shared" ref="AR4:AX4" si="40">LEFT(TEXT(AR3, "ddd"),1)</f>
        <v>S</v>
      </c>
      <c r="AS4" s="25" t="str">
        <f t="shared" si="40"/>
        <v>M</v>
      </c>
      <c r="AT4" s="25" t="str">
        <f t="shared" si="40"/>
        <v>T</v>
      </c>
      <c r="AU4" s="25" t="str">
        <f t="shared" si="40"/>
        <v>W</v>
      </c>
      <c r="AV4" s="25" t="str">
        <f t="shared" si="40"/>
        <v>T</v>
      </c>
      <c r="AW4" s="25" t="str">
        <f t="shared" si="40"/>
        <v>F</v>
      </c>
      <c r="AX4" s="25" t="str">
        <f t="shared" si="40"/>
        <v>S</v>
      </c>
      <c r="AY4" s="25" t="str">
        <f t="shared" ref="AY4" si="41">LEFT(TEXT(AY3, "ddd"),1)</f>
        <v>S</v>
      </c>
    </row>
    <row r="5" spans="1:51">
      <c r="A5" s="54" t="s">
        <v>152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42</v>
      </c>
      <c r="C6" s="7">
        <v>45854</v>
      </c>
      <c r="D6" s="7">
        <f t="shared" ref="D6:D69" si="42">IF(OR(C6="",E6=""),"-",WORKDAY(C6,E6-1,Holiday_Dates))</f>
        <v>45854</v>
      </c>
      <c r="E6" s="9">
        <v>1</v>
      </c>
      <c r="F6" s="6" t="s">
        <v>7</v>
      </c>
      <c r="G6" s="6" t="s">
        <v>41</v>
      </c>
      <c r="H6" s="6" t="s">
        <v>44</v>
      </c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 t="s">
        <v>60</v>
      </c>
      <c r="B7" s="6" t="s">
        <v>63</v>
      </c>
      <c r="C7" s="7">
        <v>45855</v>
      </c>
      <c r="D7" s="7">
        <f t="shared" si="42"/>
        <v>45856</v>
      </c>
      <c r="E7" s="9">
        <v>2</v>
      </c>
      <c r="F7" s="6" t="s">
        <v>7</v>
      </c>
      <c r="G7" s="6" t="s">
        <v>61</v>
      </c>
      <c r="H7" s="6" t="s">
        <v>62</v>
      </c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 t="s">
        <v>64</v>
      </c>
      <c r="B8" s="6" t="s">
        <v>47</v>
      </c>
      <c r="C8" s="7">
        <v>45850</v>
      </c>
      <c r="D8" s="7">
        <f t="shared" si="42"/>
        <v>45861</v>
      </c>
      <c r="E8" s="9">
        <v>9</v>
      </c>
      <c r="F8" s="6" t="s">
        <v>6</v>
      </c>
      <c r="G8" s="6" t="s">
        <v>41</v>
      </c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ht="28.8">
      <c r="A9" s="6" t="s">
        <v>64</v>
      </c>
      <c r="B9" s="12" t="s">
        <v>48</v>
      </c>
      <c r="C9" s="7">
        <v>45852</v>
      </c>
      <c r="D9" s="7">
        <f t="shared" si="42"/>
        <v>45852</v>
      </c>
      <c r="E9" s="9">
        <v>1</v>
      </c>
      <c r="F9" s="6" t="s">
        <v>7</v>
      </c>
      <c r="G9" s="6" t="s">
        <v>41</v>
      </c>
      <c r="H9" s="8" t="s">
        <v>49</v>
      </c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ht="28.8">
      <c r="A10" s="6" t="s">
        <v>64</v>
      </c>
      <c r="B10" s="8" t="s">
        <v>56</v>
      </c>
      <c r="C10" s="7">
        <v>45856</v>
      </c>
      <c r="D10" s="7">
        <f t="shared" si="42"/>
        <v>45856</v>
      </c>
      <c r="E10" s="9">
        <v>1</v>
      </c>
      <c r="F10" s="6" t="s">
        <v>6</v>
      </c>
      <c r="G10" s="6" t="s">
        <v>41</v>
      </c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 t="s">
        <v>64</v>
      </c>
      <c r="B11" s="6" t="s">
        <v>67</v>
      </c>
      <c r="C11" s="7">
        <v>45854</v>
      </c>
      <c r="D11" s="7">
        <f t="shared" si="42"/>
        <v>45854</v>
      </c>
      <c r="E11" s="9">
        <v>1</v>
      </c>
      <c r="F11" s="6" t="s">
        <v>7</v>
      </c>
      <c r="G11" s="6" t="s">
        <v>41</v>
      </c>
      <c r="H11" s="6" t="s">
        <v>73</v>
      </c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ht="28.8">
      <c r="A12" s="6" t="s">
        <v>60</v>
      </c>
      <c r="B12" s="8" t="s">
        <v>68</v>
      </c>
      <c r="C12" s="7">
        <v>45855</v>
      </c>
      <c r="D12" s="7">
        <f t="shared" si="42"/>
        <v>45855</v>
      </c>
      <c r="E12" s="9">
        <v>1</v>
      </c>
      <c r="F12" s="6" t="s">
        <v>7</v>
      </c>
      <c r="G12" s="6" t="s">
        <v>66</v>
      </c>
      <c r="H12" s="8" t="s">
        <v>72</v>
      </c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 t="s">
        <v>60</v>
      </c>
      <c r="B13" s="6" t="s">
        <v>52</v>
      </c>
      <c r="C13" s="7">
        <v>45861</v>
      </c>
      <c r="D13" s="7">
        <f t="shared" si="42"/>
        <v>45861</v>
      </c>
      <c r="E13" s="9">
        <v>1</v>
      </c>
      <c r="F13" s="6" t="s">
        <v>7</v>
      </c>
      <c r="G13" s="6" t="s">
        <v>41</v>
      </c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 t="s">
        <v>60</v>
      </c>
      <c r="B14" s="6" t="s">
        <v>40</v>
      </c>
      <c r="C14" s="7">
        <v>45861</v>
      </c>
      <c r="D14" s="7">
        <f t="shared" si="42"/>
        <v>45861</v>
      </c>
      <c r="E14" s="9">
        <v>1</v>
      </c>
      <c r="F14" s="6" t="s">
        <v>7</v>
      </c>
      <c r="G14" s="6" t="s">
        <v>41</v>
      </c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 t="s">
        <v>64</v>
      </c>
      <c r="B15" s="6" t="s">
        <v>88</v>
      </c>
      <c r="C15" s="7">
        <v>45861</v>
      </c>
      <c r="D15" s="7">
        <f t="shared" si="42"/>
        <v>45862</v>
      </c>
      <c r="E15" s="9">
        <v>2</v>
      </c>
      <c r="F15" s="6" t="s">
        <v>6</v>
      </c>
      <c r="G15" s="6" t="s">
        <v>37</v>
      </c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42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42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54" t="s">
        <v>153</v>
      </c>
      <c r="B18" s="54"/>
      <c r="C18" s="54"/>
      <c r="D18" s="54" t="str">
        <f t="shared" si="42"/>
        <v>-</v>
      </c>
      <c r="E18" s="54"/>
      <c r="F18" s="54"/>
      <c r="G18" s="54"/>
      <c r="H18" s="54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42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42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42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54" t="s">
        <v>154</v>
      </c>
      <c r="B22" s="54"/>
      <c r="C22" s="54"/>
      <c r="D22" s="54" t="str">
        <f t="shared" si="42"/>
        <v>-</v>
      </c>
      <c r="E22" s="54"/>
      <c r="F22" s="54"/>
      <c r="G22" s="54"/>
      <c r="H22" s="54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42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42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42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54" t="s">
        <v>155</v>
      </c>
      <c r="B26" s="54"/>
      <c r="C26" s="54"/>
      <c r="D26" s="54" t="str">
        <f t="shared" si="42"/>
        <v>-</v>
      </c>
      <c r="E26" s="54"/>
      <c r="F26" s="54"/>
      <c r="G26" s="54"/>
      <c r="H26" s="54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42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42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42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42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54" t="s">
        <v>156</v>
      </c>
      <c r="B31" s="54"/>
      <c r="C31" s="54"/>
      <c r="D31" s="54" t="str">
        <f t="shared" si="42"/>
        <v>-</v>
      </c>
      <c r="E31" s="54"/>
      <c r="F31" s="54"/>
      <c r="G31" s="54"/>
      <c r="H31" s="54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42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42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42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54" t="s">
        <v>157</v>
      </c>
      <c r="B35" s="54"/>
      <c r="C35" s="54"/>
      <c r="D35" s="54" t="str">
        <f t="shared" si="42"/>
        <v>-</v>
      </c>
      <c r="E35" s="54"/>
      <c r="F35" s="54"/>
      <c r="G35" s="54"/>
      <c r="H35" s="54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42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42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42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54" t="s">
        <v>158</v>
      </c>
      <c r="B39" s="54"/>
      <c r="C39" s="54"/>
      <c r="D39" s="54" t="str">
        <f t="shared" si="42"/>
        <v>-</v>
      </c>
      <c r="E39" s="54"/>
      <c r="F39" s="54"/>
      <c r="G39" s="54"/>
      <c r="H39" s="54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42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42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42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42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42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42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42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42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42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42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42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42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42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42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42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42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42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42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42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42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42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42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42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42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42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42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42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42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42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42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43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43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43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43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43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43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43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43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43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43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43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43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43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43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43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43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43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43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43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43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43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43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43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43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43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43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43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43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43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43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43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43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43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43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43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43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43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43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43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43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43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43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43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43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43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43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43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43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43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43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43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43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43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43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43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43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43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43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43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43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43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43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43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43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44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44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44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44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44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44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44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44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44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44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44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44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44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44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44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44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44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44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44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44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44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44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44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44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44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44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44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44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44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44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44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44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44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44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44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44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44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44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44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44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44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44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44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44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44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44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44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44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44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44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44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44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44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44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44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44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44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44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44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44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44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44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44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44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45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45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45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45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45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45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45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45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45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45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45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45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45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45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45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45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45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45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45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45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45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45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45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45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45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45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45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45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45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45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45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45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45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45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45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45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45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45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45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45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45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45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45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45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45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45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45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45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45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45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45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45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45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45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45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45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45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45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45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45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45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45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45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45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46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46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46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46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46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46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46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46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46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46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46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46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46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46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46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46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46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46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46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46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46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46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46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46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46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46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46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46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46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46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46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46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46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46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46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46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46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46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46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46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46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46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46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46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46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46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46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46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46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46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46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46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46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46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46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46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46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46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46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46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46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46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46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46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47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47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47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47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47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47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47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47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47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47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47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47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47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47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47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47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47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47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47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47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47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47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47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47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47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47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47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47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47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47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47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47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47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47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47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47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47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47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47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47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47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47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47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47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47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47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47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47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47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47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47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47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47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47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47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47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47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47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47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47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47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47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47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47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48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48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48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48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48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48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48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48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48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48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48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48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48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48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48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48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48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48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48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48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48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48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48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48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48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48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48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48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48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48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48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48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48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48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48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48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48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48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48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48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48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48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48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48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48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48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48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48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48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48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48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48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48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48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48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48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48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48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48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48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48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48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48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48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49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autoFilter ref="A4:H15" xr:uid="{81A61C8A-7911-46E6-83EE-8542DD1E30E2}"/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7 F19:F21 F23:F25 F27:F30 F32:F34 F36:F38 F40:F1048576">
    <cfRule type="cellIs" dxfId="62" priority="5" operator="equal">
      <formula>"Discard"</formula>
    </cfRule>
    <cfRule type="cellIs" dxfId="61" priority="6" operator="equal">
      <formula>"Done"</formula>
    </cfRule>
    <cfRule type="cellIs" dxfId="60" priority="7" operator="equal">
      <formula>"In Progress"</formula>
    </cfRule>
  </conditionalFormatting>
  <conditionalFormatting sqref="J3:AY4">
    <cfRule type="expression" dxfId="59" priority="1">
      <formula>MATCH(J$3,Holiday_Dates,0)</formula>
    </cfRule>
  </conditionalFormatting>
  <conditionalFormatting sqref="J3:AY454">
    <cfRule type="expression" dxfId="58" priority="3">
      <formula>J$3=TODAY()</formula>
    </cfRule>
  </conditionalFormatting>
  <conditionalFormatting sqref="J5:AY454">
    <cfRule type="expression" dxfId="57" priority="2">
      <formula>AND(NETWORKDAYS(J$3,J$3,Holiday_Dates)=0, NOT(J$3=Special_Workdays))</formula>
    </cfRule>
  </conditionalFormatting>
  <conditionalFormatting sqref="J6:AY454">
    <cfRule type="expression" dxfId="56" priority="4">
      <formula>AND(J$3&gt;=$C6,J$3&lt;=$D6,NOT($D6="-"))</formula>
    </cfRule>
  </conditionalFormatting>
  <dataValidations count="2">
    <dataValidation type="list" allowBlank="1" showInputMessage="1" showErrorMessage="1" sqref="F5:F1048576" xr:uid="{525FEAB2-E016-4B74-AA24-989788B40EBE}">
      <formula1>"Not Start,In Progress, Done, Discard"</formula1>
    </dataValidation>
    <dataValidation type="list" allowBlank="1" showInputMessage="1" showErrorMessage="1" sqref="A6:A68" xr:uid="{B4B548BD-4B4F-4CCB-BEDC-1D6E4C2D972F}">
      <formula1>#REF!</formula1>
    </dataValidation>
  </dataValidations>
  <pageMargins left="0.7" right="0.7" top="0.75" bottom="0.75" header="0.3" footer="0.3"/>
  <headerFooter>
    <oddFooter>&amp;L_x000D_&amp;1#&amp;"Calibri"&amp;10&amp;K000000 MAHLE internal restricted (CL2)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3" name="Scroll Bar 25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76200</xdr:rowOff>
                  </from>
                  <to>
                    <xdr:col>16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1C5FA1-B13B-4718-AC37-14F38CAC239A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3FB6B-E6D4-4457-A148-D8CF56C73515}">
  <sheetPr codeName="Sheet8"/>
  <dimension ref="A1:AY454"/>
  <sheetViews>
    <sheetView showGridLines="0" workbookViewId="0">
      <pane ySplit="4" topLeftCell="A5" activePane="bottomLeft" state="frozen"/>
      <selection pane="bottomLeft"/>
    </sheetView>
  </sheetViews>
  <sheetFormatPr defaultColWidth="9" defaultRowHeight="14.4"/>
  <cols>
    <col min="1" max="1" width="23.88671875" style="5" customWidth="1"/>
    <col min="2" max="2" width="30.2187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163</v>
      </c>
      <c r="B1" s="10"/>
    </row>
    <row r="2" spans="1:51">
      <c r="A2" s="14" t="s">
        <v>50</v>
      </c>
      <c r="B2" s="10"/>
      <c r="G2" s="5" t="s">
        <v>71</v>
      </c>
      <c r="H2" s="32">
        <v>3</v>
      </c>
      <c r="J2" s="60">
        <f>J3</f>
        <v>45880</v>
      </c>
      <c r="K2" s="61"/>
      <c r="L2" s="61"/>
      <c r="M2" s="61"/>
      <c r="N2" s="61"/>
      <c r="O2" s="61"/>
      <c r="P2" s="62"/>
      <c r="Q2" s="60">
        <f t="shared" ref="Q2" si="0">Q3</f>
        <v>45887</v>
      </c>
      <c r="R2" s="61"/>
      <c r="S2" s="61"/>
      <c r="T2" s="61"/>
      <c r="U2" s="61"/>
      <c r="V2" s="61"/>
      <c r="W2" s="62"/>
      <c r="X2" s="60">
        <f t="shared" ref="X2" si="1">X3</f>
        <v>45894</v>
      </c>
      <c r="Y2" s="61"/>
      <c r="Z2" s="61"/>
      <c r="AA2" s="61"/>
      <c r="AB2" s="61"/>
      <c r="AC2" s="61"/>
      <c r="AD2" s="62"/>
      <c r="AE2" s="60">
        <f t="shared" ref="AE2" si="2">AE3</f>
        <v>45901</v>
      </c>
      <c r="AF2" s="61"/>
      <c r="AG2" s="61"/>
      <c r="AH2" s="61"/>
      <c r="AI2" s="61"/>
      <c r="AJ2" s="61"/>
      <c r="AK2" s="62"/>
      <c r="AL2" s="60">
        <f t="shared" ref="AL2" si="3">AL3</f>
        <v>45908</v>
      </c>
      <c r="AM2" s="61"/>
      <c r="AN2" s="61"/>
      <c r="AO2" s="61"/>
      <c r="AP2" s="61"/>
      <c r="AQ2" s="61"/>
      <c r="AR2" s="62"/>
      <c r="AS2" s="60">
        <f t="shared" ref="AS2" si="4">AS3</f>
        <v>45915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$H$3-WEEKDAY(Project_Start,3)+(Display_Week_36CC_Platform-1)*7</f>
        <v>45880</v>
      </c>
      <c r="K3" s="28">
        <f>J3+1</f>
        <v>45881</v>
      </c>
      <c r="L3" s="28">
        <f t="shared" ref="L3:AQ3" si="5">K3+1</f>
        <v>45882</v>
      </c>
      <c r="M3" s="28">
        <f t="shared" si="5"/>
        <v>45883</v>
      </c>
      <c r="N3" s="28">
        <f t="shared" si="5"/>
        <v>45884</v>
      </c>
      <c r="O3" s="28">
        <f t="shared" si="5"/>
        <v>45885</v>
      </c>
      <c r="P3" s="29">
        <f t="shared" si="5"/>
        <v>45886</v>
      </c>
      <c r="Q3" s="27">
        <f t="shared" si="5"/>
        <v>45887</v>
      </c>
      <c r="R3" s="28">
        <f t="shared" si="5"/>
        <v>45888</v>
      </c>
      <c r="S3" s="28">
        <f t="shared" si="5"/>
        <v>45889</v>
      </c>
      <c r="T3" s="28">
        <f t="shared" si="5"/>
        <v>45890</v>
      </c>
      <c r="U3" s="28">
        <f t="shared" si="5"/>
        <v>45891</v>
      </c>
      <c r="V3" s="28">
        <f t="shared" si="5"/>
        <v>45892</v>
      </c>
      <c r="W3" s="29">
        <f t="shared" si="5"/>
        <v>45893</v>
      </c>
      <c r="X3" s="27">
        <f t="shared" si="5"/>
        <v>45894</v>
      </c>
      <c r="Y3" s="28">
        <f t="shared" si="5"/>
        <v>45895</v>
      </c>
      <c r="Z3" s="28">
        <f t="shared" si="5"/>
        <v>45896</v>
      </c>
      <c r="AA3" s="28">
        <f t="shared" si="5"/>
        <v>45897</v>
      </c>
      <c r="AB3" s="28">
        <f>AA3+1</f>
        <v>45898</v>
      </c>
      <c r="AC3" s="28">
        <f t="shared" si="5"/>
        <v>45899</v>
      </c>
      <c r="AD3" s="29">
        <f t="shared" si="5"/>
        <v>45900</v>
      </c>
      <c r="AE3" s="27">
        <f t="shared" si="5"/>
        <v>45901</v>
      </c>
      <c r="AF3" s="28">
        <f t="shared" si="5"/>
        <v>45902</v>
      </c>
      <c r="AG3" s="28">
        <f t="shared" si="5"/>
        <v>45903</v>
      </c>
      <c r="AH3" s="28">
        <f t="shared" si="5"/>
        <v>45904</v>
      </c>
      <c r="AI3" s="28">
        <f t="shared" si="5"/>
        <v>45905</v>
      </c>
      <c r="AJ3" s="28">
        <f t="shared" si="5"/>
        <v>45906</v>
      </c>
      <c r="AK3" s="29">
        <f t="shared" si="5"/>
        <v>45907</v>
      </c>
      <c r="AL3" s="27">
        <f t="shared" si="5"/>
        <v>45908</v>
      </c>
      <c r="AM3" s="28">
        <f t="shared" si="5"/>
        <v>45909</v>
      </c>
      <c r="AN3" s="28">
        <f t="shared" si="5"/>
        <v>45910</v>
      </c>
      <c r="AO3" s="28">
        <f t="shared" si="5"/>
        <v>45911</v>
      </c>
      <c r="AP3" s="28">
        <f t="shared" si="5"/>
        <v>45912</v>
      </c>
      <c r="AQ3" s="28">
        <f t="shared" si="5"/>
        <v>45913</v>
      </c>
      <c r="AR3" s="29">
        <f>AQ3+1</f>
        <v>45914</v>
      </c>
      <c r="AS3" s="27">
        <f t="shared" ref="AS3:AX3" si="6">AR3+1</f>
        <v>45915</v>
      </c>
      <c r="AT3" s="28">
        <f t="shared" si="6"/>
        <v>45916</v>
      </c>
      <c r="AU3" s="28">
        <f t="shared" si="6"/>
        <v>45917</v>
      </c>
      <c r="AV3" s="28">
        <f t="shared" si="6"/>
        <v>45918</v>
      </c>
      <c r="AW3" s="28">
        <f t="shared" si="6"/>
        <v>45919</v>
      </c>
      <c r="AX3" s="28">
        <f t="shared" si="6"/>
        <v>45920</v>
      </c>
      <c r="AY3" s="29">
        <f>AX3+1</f>
        <v>45921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>
      <c r="A5" s="54" t="s">
        <v>164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51</v>
      </c>
      <c r="C6" s="7">
        <v>45862</v>
      </c>
      <c r="D6" s="7">
        <f t="shared" ref="D6:D69" si="8">IF(OR(C6="",E6=""),"-",WORKDAY(C6,E6-1,Holiday_Dates))</f>
        <v>45866</v>
      </c>
      <c r="E6" s="9">
        <v>3</v>
      </c>
      <c r="F6" s="6" t="s">
        <v>7</v>
      </c>
      <c r="G6" s="6" t="s">
        <v>113</v>
      </c>
      <c r="H6" s="6" t="s">
        <v>44</v>
      </c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>
        <v>45862</v>
      </c>
      <c r="D7" s="7">
        <f t="shared" si="8"/>
        <v>45869</v>
      </c>
      <c r="E7" s="9">
        <v>6</v>
      </c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54" t="s">
        <v>165</v>
      </c>
      <c r="B18" s="54"/>
      <c r="C18" s="54"/>
      <c r="D18" s="54" t="str">
        <f t="shared" si="8"/>
        <v>-</v>
      </c>
      <c r="E18" s="54"/>
      <c r="F18" s="54"/>
      <c r="G18" s="54"/>
      <c r="H18" s="54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7 F19:F1048576">
    <cfRule type="cellIs" dxfId="55" priority="5" operator="equal">
      <formula>"Discard"</formula>
    </cfRule>
    <cfRule type="cellIs" dxfId="54" priority="6" operator="equal">
      <formula>"Done"</formula>
    </cfRule>
    <cfRule type="cellIs" dxfId="53" priority="7" operator="equal">
      <formula>"In Progress"</formula>
    </cfRule>
  </conditionalFormatting>
  <conditionalFormatting sqref="J3:AY4">
    <cfRule type="expression" dxfId="52" priority="1">
      <formula>MATCH(J$3,Holiday_Dates,0)</formula>
    </cfRule>
  </conditionalFormatting>
  <conditionalFormatting sqref="J3:AY454">
    <cfRule type="expression" dxfId="51" priority="3">
      <formula>J$3=TODAY()</formula>
    </cfRule>
  </conditionalFormatting>
  <conditionalFormatting sqref="J5:AY454">
    <cfRule type="expression" dxfId="50" priority="2">
      <formula>AND(NETWORKDAYS(J$3,J$3,Holiday_Dates)=0, NOT(J$3=Special_Workdays))</formula>
    </cfRule>
  </conditionalFormatting>
  <conditionalFormatting sqref="J6:AY68">
    <cfRule type="expression" dxfId="49" priority="4">
      <formula>AND(J$3&gt;=$C6,J$3&lt;=$D6,NOT($D6="-"))</formula>
    </cfRule>
  </conditionalFormatting>
  <dataValidations count="2">
    <dataValidation type="list" allowBlank="1" showInputMessage="1" showErrorMessage="1" sqref="F5:F1048576" xr:uid="{03B0A78C-6380-4789-BA93-657C07716EA8}">
      <formula1>"Not Start,In Progress, Done, Discard"</formula1>
    </dataValidation>
    <dataValidation type="list" allowBlank="1" showInputMessage="1" showErrorMessage="1" sqref="A6:A68" xr:uid="{F683AA06-0253-48F1-ADA4-0962596BC2A9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Scroll Bar 3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C9FACD-4E59-4DE9-A2B3-87667F6F8DD5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E6157-B72D-4E40-9B97-6A2037CF316D}">
  <sheetPr codeName="Sheet4"/>
  <dimension ref="A1:AY454"/>
  <sheetViews>
    <sheetView showGridLines="0" zoomScaleNormal="100" workbookViewId="0">
      <pane ySplit="5" topLeftCell="A6" activePane="bottomLeft" state="frozen"/>
      <selection pane="bottomLeft" activeCell="B12" sqref="B12"/>
    </sheetView>
  </sheetViews>
  <sheetFormatPr defaultColWidth="9" defaultRowHeight="14.4"/>
  <cols>
    <col min="1" max="1" width="23.88671875" style="5" customWidth="1"/>
    <col min="2" max="2" width="30.2187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161</v>
      </c>
      <c r="B1" s="10"/>
    </row>
    <row r="2" spans="1:51">
      <c r="A2" s="14" t="s">
        <v>50</v>
      </c>
      <c r="B2" s="10"/>
      <c r="G2" s="5" t="s">
        <v>71</v>
      </c>
      <c r="H2" s="32">
        <v>7</v>
      </c>
      <c r="J2" s="60">
        <f>J3</f>
        <v>45880</v>
      </c>
      <c r="K2" s="61"/>
      <c r="L2" s="61"/>
      <c r="M2" s="61"/>
      <c r="N2" s="61"/>
      <c r="O2" s="61"/>
      <c r="P2" s="62"/>
      <c r="Q2" s="60">
        <f t="shared" ref="Q2" si="0">Q3</f>
        <v>45887</v>
      </c>
      <c r="R2" s="61"/>
      <c r="S2" s="61"/>
      <c r="T2" s="61"/>
      <c r="U2" s="61"/>
      <c r="V2" s="61"/>
      <c r="W2" s="62"/>
      <c r="X2" s="60">
        <f t="shared" ref="X2" si="1">X3</f>
        <v>45894</v>
      </c>
      <c r="Y2" s="61"/>
      <c r="Z2" s="61"/>
      <c r="AA2" s="61"/>
      <c r="AB2" s="61"/>
      <c r="AC2" s="61"/>
      <c r="AD2" s="62"/>
      <c r="AE2" s="60">
        <f t="shared" ref="AE2" si="2">AE3</f>
        <v>45901</v>
      </c>
      <c r="AF2" s="61"/>
      <c r="AG2" s="61"/>
      <c r="AH2" s="61"/>
      <c r="AI2" s="61"/>
      <c r="AJ2" s="61"/>
      <c r="AK2" s="62"/>
      <c r="AL2" s="60">
        <f t="shared" ref="AL2" si="3">AL3</f>
        <v>45908</v>
      </c>
      <c r="AM2" s="61"/>
      <c r="AN2" s="61"/>
      <c r="AO2" s="61"/>
      <c r="AP2" s="61"/>
      <c r="AQ2" s="61"/>
      <c r="AR2" s="62"/>
      <c r="AS2" s="60">
        <f t="shared" ref="AS2" si="4">AS3</f>
        <v>45915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$H$3-WEEKDAY(Project_Start,3)+(Display_Week_36CC_Platform-1)*7</f>
        <v>45880</v>
      </c>
      <c r="K3" s="28">
        <f>J3+1</f>
        <v>45881</v>
      </c>
      <c r="L3" s="28">
        <f t="shared" ref="L3:AQ3" si="5">K3+1</f>
        <v>45882</v>
      </c>
      <c r="M3" s="28">
        <f t="shared" si="5"/>
        <v>45883</v>
      </c>
      <c r="N3" s="28">
        <f t="shared" si="5"/>
        <v>45884</v>
      </c>
      <c r="O3" s="28">
        <f t="shared" si="5"/>
        <v>45885</v>
      </c>
      <c r="P3" s="29">
        <f t="shared" si="5"/>
        <v>45886</v>
      </c>
      <c r="Q3" s="27">
        <f t="shared" si="5"/>
        <v>45887</v>
      </c>
      <c r="R3" s="28">
        <f t="shared" si="5"/>
        <v>45888</v>
      </c>
      <c r="S3" s="28">
        <f t="shared" si="5"/>
        <v>45889</v>
      </c>
      <c r="T3" s="28">
        <f t="shared" si="5"/>
        <v>45890</v>
      </c>
      <c r="U3" s="28">
        <f t="shared" si="5"/>
        <v>45891</v>
      </c>
      <c r="V3" s="28">
        <f t="shared" si="5"/>
        <v>45892</v>
      </c>
      <c r="W3" s="29">
        <f t="shared" si="5"/>
        <v>45893</v>
      </c>
      <c r="X3" s="27">
        <f t="shared" si="5"/>
        <v>45894</v>
      </c>
      <c r="Y3" s="28">
        <f t="shared" si="5"/>
        <v>45895</v>
      </c>
      <c r="Z3" s="28">
        <f t="shared" si="5"/>
        <v>45896</v>
      </c>
      <c r="AA3" s="28">
        <f t="shared" si="5"/>
        <v>45897</v>
      </c>
      <c r="AB3" s="28">
        <f>AA3+1</f>
        <v>45898</v>
      </c>
      <c r="AC3" s="28">
        <f t="shared" si="5"/>
        <v>45899</v>
      </c>
      <c r="AD3" s="29">
        <f t="shared" si="5"/>
        <v>45900</v>
      </c>
      <c r="AE3" s="27">
        <f t="shared" si="5"/>
        <v>45901</v>
      </c>
      <c r="AF3" s="28">
        <f t="shared" si="5"/>
        <v>45902</v>
      </c>
      <c r="AG3" s="28">
        <f t="shared" si="5"/>
        <v>45903</v>
      </c>
      <c r="AH3" s="28">
        <f t="shared" si="5"/>
        <v>45904</v>
      </c>
      <c r="AI3" s="28">
        <f t="shared" si="5"/>
        <v>45905</v>
      </c>
      <c r="AJ3" s="28">
        <f t="shared" si="5"/>
        <v>45906</v>
      </c>
      <c r="AK3" s="29">
        <f t="shared" si="5"/>
        <v>45907</v>
      </c>
      <c r="AL3" s="27">
        <f t="shared" si="5"/>
        <v>45908</v>
      </c>
      <c r="AM3" s="28">
        <f t="shared" si="5"/>
        <v>45909</v>
      </c>
      <c r="AN3" s="28">
        <f t="shared" si="5"/>
        <v>45910</v>
      </c>
      <c r="AO3" s="28">
        <f t="shared" si="5"/>
        <v>45911</v>
      </c>
      <c r="AP3" s="28">
        <f t="shared" si="5"/>
        <v>45912</v>
      </c>
      <c r="AQ3" s="28">
        <f t="shared" si="5"/>
        <v>45913</v>
      </c>
      <c r="AR3" s="29">
        <f>AQ3+1</f>
        <v>45914</v>
      </c>
      <c r="AS3" s="27">
        <f t="shared" ref="AS3" si="6">AR3+1</f>
        <v>45915</v>
      </c>
      <c r="AT3" s="28">
        <f t="shared" ref="AT3" si="7">AS3+1</f>
        <v>45916</v>
      </c>
      <c r="AU3" s="28">
        <f t="shared" ref="AU3" si="8">AT3+1</f>
        <v>45917</v>
      </c>
      <c r="AV3" s="28">
        <f t="shared" ref="AV3" si="9">AU3+1</f>
        <v>45918</v>
      </c>
      <c r="AW3" s="28">
        <f t="shared" ref="AW3" si="10">AV3+1</f>
        <v>45919</v>
      </c>
      <c r="AX3" s="28">
        <f t="shared" ref="AX3" si="11">AW3+1</f>
        <v>45920</v>
      </c>
      <c r="AY3" s="29">
        <f>AX3+1</f>
        <v>45921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R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si="12"/>
        <v>M</v>
      </c>
      <c r="R4" s="25" t="str">
        <f t="shared" si="12"/>
        <v>T</v>
      </c>
      <c r="S4" s="25" t="str">
        <f t="shared" si="12"/>
        <v>W</v>
      </c>
      <c r="T4" s="25" t="str">
        <f t="shared" si="12"/>
        <v>T</v>
      </c>
      <c r="U4" s="25" t="str">
        <f t="shared" si="12"/>
        <v>F</v>
      </c>
      <c r="V4" s="25" t="str">
        <f t="shared" si="12"/>
        <v>S</v>
      </c>
      <c r="W4" s="25" t="str">
        <f t="shared" si="12"/>
        <v>S</v>
      </c>
      <c r="X4" s="25" t="str">
        <f t="shared" si="12"/>
        <v>M</v>
      </c>
      <c r="Y4" s="25" t="str">
        <f t="shared" si="12"/>
        <v>T</v>
      </c>
      <c r="Z4" s="25" t="str">
        <f t="shared" si="12"/>
        <v>W</v>
      </c>
      <c r="AA4" s="25" t="str">
        <f t="shared" si="12"/>
        <v>T</v>
      </c>
      <c r="AB4" s="25" t="str">
        <f t="shared" si="12"/>
        <v>F</v>
      </c>
      <c r="AC4" s="25" t="str">
        <f t="shared" si="12"/>
        <v>S</v>
      </c>
      <c r="AD4" s="25" t="str">
        <f t="shared" si="12"/>
        <v>S</v>
      </c>
      <c r="AE4" s="25" t="str">
        <f t="shared" si="12"/>
        <v>M</v>
      </c>
      <c r="AF4" s="25" t="str">
        <f t="shared" si="12"/>
        <v>T</v>
      </c>
      <c r="AG4" s="25" t="str">
        <f t="shared" si="12"/>
        <v>W</v>
      </c>
      <c r="AH4" s="25" t="str">
        <f t="shared" si="12"/>
        <v>T</v>
      </c>
      <c r="AI4" s="25" t="str">
        <f t="shared" si="12"/>
        <v>F</v>
      </c>
      <c r="AJ4" s="25" t="str">
        <f t="shared" si="12"/>
        <v>S</v>
      </c>
      <c r="AK4" s="25" t="str">
        <f t="shared" si="12"/>
        <v>S</v>
      </c>
      <c r="AL4" s="25" t="str">
        <f t="shared" si="12"/>
        <v>M</v>
      </c>
      <c r="AM4" s="25" t="str">
        <f t="shared" si="12"/>
        <v>T</v>
      </c>
      <c r="AN4" s="25" t="str">
        <f t="shared" si="12"/>
        <v>W</v>
      </c>
      <c r="AO4" s="25" t="str">
        <f t="shared" si="12"/>
        <v>T</v>
      </c>
      <c r="AP4" s="25" t="str">
        <f t="shared" si="12"/>
        <v>F</v>
      </c>
      <c r="AQ4" s="25" t="str">
        <f t="shared" si="12"/>
        <v>S</v>
      </c>
      <c r="AR4" s="25" t="str">
        <f t="shared" si="12"/>
        <v>S</v>
      </c>
      <c r="AS4" s="25" t="str">
        <f t="shared" ref="AS4:AY4" si="13">LEFT(TEXT(AS3, "ddd"),1)</f>
        <v>M</v>
      </c>
      <c r="AT4" s="25" t="str">
        <f t="shared" si="13"/>
        <v>T</v>
      </c>
      <c r="AU4" s="25" t="str">
        <f t="shared" si="13"/>
        <v>W</v>
      </c>
      <c r="AV4" s="25" t="str">
        <f t="shared" si="13"/>
        <v>T</v>
      </c>
      <c r="AW4" s="25" t="str">
        <f t="shared" si="13"/>
        <v>F</v>
      </c>
      <c r="AX4" s="25" t="str">
        <f t="shared" si="13"/>
        <v>S</v>
      </c>
      <c r="AY4" s="25" t="str">
        <f t="shared" si="13"/>
        <v>S</v>
      </c>
    </row>
    <row r="5" spans="1:51">
      <c r="A5" s="54" t="s">
        <v>162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51</v>
      </c>
      <c r="C6" s="7">
        <v>45862</v>
      </c>
      <c r="D6" s="7">
        <f t="shared" ref="D6:D69" si="14">IF(OR(C6="",E6=""),"-",WORKDAY(C6,E6-1,Holiday_Dates))</f>
        <v>45866</v>
      </c>
      <c r="E6" s="9">
        <v>3</v>
      </c>
      <c r="F6" s="6" t="s">
        <v>7</v>
      </c>
      <c r="G6" s="6" t="s">
        <v>113</v>
      </c>
      <c r="H6" s="6" t="s">
        <v>44</v>
      </c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/>
      <c r="D7" s="7" t="str">
        <f t="shared" si="14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14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14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14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14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14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14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14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14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14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14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14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14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14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14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14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14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14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14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14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14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14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14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14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14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14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14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14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14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14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14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14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14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14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14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14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14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14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14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14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14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14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14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14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14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14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14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14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14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14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14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14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14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14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14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14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14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14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14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14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14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14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14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15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15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15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15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15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15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15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15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15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15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15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15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15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15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15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15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15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15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15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15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15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15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15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15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15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15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15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15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15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15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15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15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15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15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15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15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15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15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15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15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15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15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15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15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15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15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15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15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15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15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15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15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15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15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15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15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15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15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15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15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15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15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15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15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6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6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6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6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6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6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6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6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6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6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6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6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6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6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6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6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6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6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6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6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6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6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6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6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6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6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6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6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6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6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6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6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6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6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6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6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6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6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6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6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6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6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6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6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6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6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6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6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6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6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6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6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6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6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6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6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6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6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6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6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6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6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6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6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7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7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7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7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7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7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7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7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7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7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7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7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7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7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7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7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7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7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7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7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7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7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7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7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7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7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7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7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7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7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7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7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7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7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7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7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7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7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7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7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7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7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7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7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7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7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7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7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7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7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7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7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7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7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7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7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7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7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7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7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7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7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7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7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8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8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8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8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8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8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8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8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8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8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8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8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8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8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8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8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8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8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8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8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8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8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8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8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8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8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8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8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8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8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8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8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8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8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8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8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8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8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8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8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8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8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8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8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8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8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8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8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8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8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8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8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8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8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8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8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8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8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8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8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8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8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8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8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9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9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9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9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9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9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9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9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9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9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9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9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9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9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9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9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9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9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9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9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9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9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9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9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9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9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9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9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9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9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9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9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9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9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9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9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9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9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9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9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9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9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9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9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9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9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9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9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9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9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9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9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9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9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9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9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9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9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9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9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9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9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9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9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20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20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20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20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20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20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20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20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20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20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20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20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20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20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20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20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20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20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20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20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20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20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20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20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20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20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20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20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20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20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20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20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20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20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20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20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20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20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20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20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20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20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20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20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20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20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20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20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20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20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20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20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20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20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20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20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20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20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20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20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20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20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20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20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21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48" priority="5" operator="equal">
      <formula>"Discard"</formula>
    </cfRule>
    <cfRule type="cellIs" dxfId="47" priority="6" operator="equal">
      <formula>"Done"</formula>
    </cfRule>
    <cfRule type="cellIs" dxfId="46" priority="7" operator="equal">
      <formula>"In Progress"</formula>
    </cfRule>
  </conditionalFormatting>
  <conditionalFormatting sqref="J3:AY4">
    <cfRule type="expression" dxfId="45" priority="1">
      <formula>MATCH(J$3,Holiday_Dates,0)</formula>
    </cfRule>
  </conditionalFormatting>
  <conditionalFormatting sqref="J3:AY454">
    <cfRule type="expression" dxfId="44" priority="3">
      <formula>J$3=TODAY()</formula>
    </cfRule>
  </conditionalFormatting>
  <conditionalFormatting sqref="J5:AY454">
    <cfRule type="expression" dxfId="43" priority="2">
      <formula>AND(NETWORKDAYS(J$3,J$3,Holiday_Dates)=0, NOT(J$3=Special_Workdays))</formula>
    </cfRule>
  </conditionalFormatting>
  <conditionalFormatting sqref="J6:AY68">
    <cfRule type="expression" dxfId="42" priority="4">
      <formula>AND(J$3&gt;=$C6,J$3&lt;=$D6,NOT($D6="-"))</formula>
    </cfRule>
  </conditionalFormatting>
  <dataValidations count="2">
    <dataValidation type="list" allowBlank="1" showInputMessage="1" showErrorMessage="1" sqref="F5:F1048576" xr:uid="{9DA36A8C-FD00-4632-8DE2-951F8E5C710D}">
      <formula1>"Not Start,In Progress, Done, Discard"</formula1>
    </dataValidation>
    <dataValidation type="list" allowBlank="1" showInputMessage="1" showErrorMessage="1" sqref="A6:A68" xr:uid="{C5ED530A-4671-4F05-8861-B7D4F7C52500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56D747-0081-425F-8D5D-43458718672B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9FF2-FB64-4DAC-B4A6-E12602DD65D6}">
  <sheetPr codeName="Sheet3"/>
  <dimension ref="A1:AY454"/>
  <sheetViews>
    <sheetView showGridLines="0" workbookViewId="0">
      <pane ySplit="4" topLeftCell="A5" activePane="bottomLeft" state="frozen"/>
      <selection pane="bottomLeft" activeCell="A5" sqref="A5"/>
    </sheetView>
  </sheetViews>
  <sheetFormatPr defaultColWidth="9" defaultRowHeight="14.4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159</v>
      </c>
      <c r="B1" s="10"/>
    </row>
    <row r="2" spans="1:51">
      <c r="A2" s="14" t="s">
        <v>50</v>
      </c>
      <c r="B2" s="10"/>
      <c r="G2" s="5" t="s">
        <v>71</v>
      </c>
      <c r="H2" s="32">
        <v>3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" si="6">AR3+1</f>
        <v>45887</v>
      </c>
      <c r="AT3" s="28">
        <f t="shared" ref="AT3" si="7">AS3+1</f>
        <v>45888</v>
      </c>
      <c r="AU3" s="28">
        <f t="shared" ref="AU3" si="8">AT3+1</f>
        <v>45889</v>
      </c>
      <c r="AV3" s="28">
        <f t="shared" ref="AV3" si="9">AU3+1</f>
        <v>45890</v>
      </c>
      <c r="AW3" s="28">
        <f t="shared" ref="AW3" si="10">AV3+1</f>
        <v>45891</v>
      </c>
      <c r="AX3" s="28">
        <f t="shared" ref="AX3" si="11">AW3+1</f>
        <v>45892</v>
      </c>
      <c r="AY3" s="29">
        <f>AX3+1</f>
        <v>45893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R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si="12"/>
        <v>M</v>
      </c>
      <c r="R4" s="25" t="str">
        <f t="shared" si="12"/>
        <v>T</v>
      </c>
      <c r="S4" s="25" t="str">
        <f t="shared" si="12"/>
        <v>W</v>
      </c>
      <c r="T4" s="25" t="str">
        <f t="shared" si="12"/>
        <v>T</v>
      </c>
      <c r="U4" s="25" t="str">
        <f t="shared" si="12"/>
        <v>F</v>
      </c>
      <c r="V4" s="25" t="str">
        <f t="shared" si="12"/>
        <v>S</v>
      </c>
      <c r="W4" s="25" t="str">
        <f t="shared" si="12"/>
        <v>S</v>
      </c>
      <c r="X4" s="25" t="str">
        <f t="shared" si="12"/>
        <v>M</v>
      </c>
      <c r="Y4" s="25" t="str">
        <f t="shared" si="12"/>
        <v>T</v>
      </c>
      <c r="Z4" s="25" t="str">
        <f t="shared" si="12"/>
        <v>W</v>
      </c>
      <c r="AA4" s="25" t="str">
        <f t="shared" si="12"/>
        <v>T</v>
      </c>
      <c r="AB4" s="25" t="str">
        <f t="shared" si="12"/>
        <v>F</v>
      </c>
      <c r="AC4" s="25" t="str">
        <f t="shared" si="12"/>
        <v>S</v>
      </c>
      <c r="AD4" s="25" t="str">
        <f t="shared" si="12"/>
        <v>S</v>
      </c>
      <c r="AE4" s="25" t="str">
        <f t="shared" si="12"/>
        <v>M</v>
      </c>
      <c r="AF4" s="25" t="str">
        <f t="shared" si="12"/>
        <v>T</v>
      </c>
      <c r="AG4" s="25" t="str">
        <f t="shared" si="12"/>
        <v>W</v>
      </c>
      <c r="AH4" s="25" t="str">
        <f t="shared" si="12"/>
        <v>T</v>
      </c>
      <c r="AI4" s="25" t="str">
        <f t="shared" si="12"/>
        <v>F</v>
      </c>
      <c r="AJ4" s="25" t="str">
        <f t="shared" si="12"/>
        <v>S</v>
      </c>
      <c r="AK4" s="25" t="str">
        <f t="shared" si="12"/>
        <v>S</v>
      </c>
      <c r="AL4" s="25" t="str">
        <f t="shared" si="12"/>
        <v>M</v>
      </c>
      <c r="AM4" s="25" t="str">
        <f t="shared" si="12"/>
        <v>T</v>
      </c>
      <c r="AN4" s="25" t="str">
        <f t="shared" si="12"/>
        <v>W</v>
      </c>
      <c r="AO4" s="25" t="str">
        <f t="shared" si="12"/>
        <v>T</v>
      </c>
      <c r="AP4" s="25" t="str">
        <f t="shared" si="12"/>
        <v>F</v>
      </c>
      <c r="AQ4" s="25" t="str">
        <f t="shared" si="12"/>
        <v>S</v>
      </c>
      <c r="AR4" s="25" t="str">
        <f t="shared" si="12"/>
        <v>S</v>
      </c>
      <c r="AS4" s="25" t="str">
        <f t="shared" ref="AS4:AY4" si="13">LEFT(TEXT(AS3, "ddd"),1)</f>
        <v>M</v>
      </c>
      <c r="AT4" s="25" t="str">
        <f t="shared" si="13"/>
        <v>T</v>
      </c>
      <c r="AU4" s="25" t="str">
        <f t="shared" si="13"/>
        <v>W</v>
      </c>
      <c r="AV4" s="25" t="str">
        <f t="shared" si="13"/>
        <v>T</v>
      </c>
      <c r="AW4" s="25" t="str">
        <f t="shared" si="13"/>
        <v>F</v>
      </c>
      <c r="AX4" s="25" t="str">
        <f t="shared" si="13"/>
        <v>S</v>
      </c>
      <c r="AY4" s="25" t="str">
        <f t="shared" si="13"/>
        <v>S</v>
      </c>
    </row>
    <row r="5" spans="1:51">
      <c r="A5" s="33" t="s">
        <v>100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96</v>
      </c>
      <c r="C6" s="7">
        <v>45856</v>
      </c>
      <c r="D6" s="7">
        <f t="shared" ref="D6:D69" si="14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/>
      <c r="D7" s="7" t="str">
        <f t="shared" si="14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14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14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14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14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14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14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14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14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14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14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14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14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14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14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14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14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14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14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14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14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14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14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14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14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14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14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14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14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14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14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14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14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14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14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14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14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14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14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14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14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14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14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14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14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14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14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14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14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14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14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14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14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14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14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14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14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14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14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14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14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14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14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15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15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15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15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15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15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15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15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15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15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15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15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15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15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15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15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15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15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15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15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15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15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15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15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15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15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15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15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15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15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15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15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15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15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15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15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15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15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15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15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15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15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15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15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15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15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15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15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15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15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15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15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15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15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15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15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15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15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15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15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15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15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15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15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6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6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6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6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6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6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6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6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6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6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6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6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6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6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6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6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6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6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6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6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6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6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6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6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6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6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6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6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6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6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6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6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6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6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6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6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6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6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6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6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6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6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6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6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6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6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6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6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6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6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6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6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6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6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6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6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6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6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6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6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6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6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6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6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7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7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7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7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7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7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7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7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7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7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7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7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7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7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7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7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7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7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7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7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7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7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7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7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7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7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7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7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7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7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7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7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7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7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7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7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7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7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7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7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7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7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7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7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7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7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7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7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7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7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7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7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7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7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7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7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7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7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7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7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7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7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7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7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8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8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8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8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8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8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8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8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8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8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8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8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8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8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8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8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8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8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8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8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8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8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8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8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8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8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8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8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8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8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8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8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8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8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8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8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8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8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8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8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8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8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8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8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8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8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8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8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8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8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8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8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8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8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8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8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8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8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8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8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8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8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8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8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9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9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9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9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9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9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9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9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9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9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9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9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9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9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9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9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9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9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9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9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9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9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9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9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9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9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9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9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9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9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9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9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9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9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9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9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9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9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9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9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9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9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9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9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9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9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9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9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9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9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9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9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9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9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9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9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9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9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9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9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9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9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9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9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20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20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20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20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20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20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20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20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20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20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20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20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20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20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20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20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20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20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20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20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20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20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20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20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20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20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20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20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20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20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20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20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20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20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20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20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20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20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20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20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20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20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20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20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20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20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20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20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20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20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20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20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20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20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20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20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20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20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20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20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20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20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20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20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21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41" priority="5" operator="equal">
      <formula>"Discard"</formula>
    </cfRule>
    <cfRule type="cellIs" dxfId="40" priority="6" operator="equal">
      <formula>"Done"</formula>
    </cfRule>
    <cfRule type="cellIs" dxfId="39" priority="7" operator="equal">
      <formula>"In Progress"</formula>
    </cfRule>
  </conditionalFormatting>
  <conditionalFormatting sqref="J3:AY4">
    <cfRule type="expression" dxfId="38" priority="1">
      <formula>MATCH(J$3,Holiday_Dates,0)</formula>
    </cfRule>
  </conditionalFormatting>
  <conditionalFormatting sqref="J3:AY454">
    <cfRule type="expression" dxfId="37" priority="3">
      <formula>J$3=TODAY()</formula>
    </cfRule>
  </conditionalFormatting>
  <conditionalFormatting sqref="J5:AY454">
    <cfRule type="expression" dxfId="36" priority="2">
      <formula>AND(NETWORKDAYS(J$3,J$3,Holiday_Dates)=0, NOT(J$3=Special_Workdays))</formula>
    </cfRule>
  </conditionalFormatting>
  <conditionalFormatting sqref="J6:AY68">
    <cfRule type="expression" dxfId="35" priority="4">
      <formula>AND(J$3&gt;=$C6,J$3&lt;=$D6,NOT($D6="-"))</formula>
    </cfRule>
  </conditionalFormatting>
  <dataValidations count="2">
    <dataValidation type="list" allowBlank="1" showInputMessage="1" showErrorMessage="1" sqref="F5:F1048576" xr:uid="{005E5C55-3000-46DA-8527-B885FB3FEF80}">
      <formula1>"Not Start,In Progress, Done, Discard"</formula1>
    </dataValidation>
    <dataValidation type="list" allowBlank="1" showInputMessage="1" showErrorMessage="1" sqref="A6:A68" xr:uid="{C5B3D6BD-D978-4584-B6FB-8D93EC573C3C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2CE60C-1EBA-43C8-B087-264AC74FBB36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E9DE-E7A6-4FCF-8AC3-5EF2C5AC1827}">
  <sheetPr codeName="Sheet9"/>
  <dimension ref="A1:AY454"/>
  <sheetViews>
    <sheetView showGridLines="0" workbookViewId="0">
      <pane ySplit="4" topLeftCell="A5" activePane="bottomLeft" state="frozen"/>
      <selection pane="bottomLeft" activeCell="A5" sqref="A5"/>
    </sheetView>
  </sheetViews>
  <sheetFormatPr defaultColWidth="9" defaultRowHeight="14.4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167</v>
      </c>
      <c r="B1" s="10"/>
    </row>
    <row r="2" spans="1:51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34" priority="5" operator="equal">
      <formula>"Discard"</formula>
    </cfRule>
    <cfRule type="cellIs" dxfId="33" priority="6" operator="equal">
      <formula>"Done"</formula>
    </cfRule>
    <cfRule type="cellIs" dxfId="32" priority="7" operator="equal">
      <formula>"In Progress"</formula>
    </cfRule>
  </conditionalFormatting>
  <conditionalFormatting sqref="J3:AY4">
    <cfRule type="expression" dxfId="31" priority="1">
      <formula>MATCH(J$3,Holiday_Dates,0)</formula>
    </cfRule>
  </conditionalFormatting>
  <conditionalFormatting sqref="J3:AY454">
    <cfRule type="expression" dxfId="30" priority="3">
      <formula>J$3=TODAY()</formula>
    </cfRule>
  </conditionalFormatting>
  <conditionalFormatting sqref="J5:AY454">
    <cfRule type="expression" dxfId="29" priority="2">
      <formula>AND(NETWORKDAYS(J$3,J$3,Holiday_Dates)=0, NOT(J$3=Special_Workdays))</formula>
    </cfRule>
  </conditionalFormatting>
  <conditionalFormatting sqref="J6:AY68">
    <cfRule type="expression" dxfId="28" priority="4">
      <formula>AND(J$3&gt;=$C6,J$3&lt;=$D6,NOT($D6="-"))</formula>
    </cfRule>
  </conditionalFormatting>
  <dataValidations count="2">
    <dataValidation type="list" allowBlank="1" showInputMessage="1" showErrorMessage="1" sqref="F5:F1048576" xr:uid="{CD5EBCEA-E124-44B4-864A-E5B1555748B5}">
      <formula1>"Not Start,In Progress, Done, Discard"</formula1>
    </dataValidation>
    <dataValidation type="list" allowBlank="1" showInputMessage="1" showErrorMessage="1" sqref="A6:A68" xr:uid="{15B8A7CD-3D82-4758-AFA8-3470DC0D89E6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06F46-1311-4084-BBD8-A35362B085BA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9537-0466-46D1-B99B-2EE09664F87D}">
  <sheetPr codeName="Sheet10"/>
  <dimension ref="A1:AY454"/>
  <sheetViews>
    <sheetView workbookViewId="0">
      <pane ySplit="4" topLeftCell="A5" activePane="bottomLeft" state="frozen"/>
      <selection pane="bottomLeft" activeCell="A5" sqref="A5"/>
    </sheetView>
  </sheetViews>
  <sheetFormatPr defaultColWidth="9" defaultRowHeight="14.4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168</v>
      </c>
      <c r="B1" s="10"/>
    </row>
    <row r="2" spans="1:51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27" priority="5" operator="equal">
      <formula>"Discard"</formula>
    </cfRule>
    <cfRule type="cellIs" dxfId="26" priority="6" operator="equal">
      <formula>"Done"</formula>
    </cfRule>
    <cfRule type="cellIs" dxfId="25" priority="7" operator="equal">
      <formula>"In Progress"</formula>
    </cfRule>
  </conditionalFormatting>
  <conditionalFormatting sqref="J3:AY4">
    <cfRule type="expression" dxfId="24" priority="1">
      <formula>MATCH(J$3,Holiday_Dates,0)</formula>
    </cfRule>
  </conditionalFormatting>
  <conditionalFormatting sqref="J3:AY454">
    <cfRule type="expression" dxfId="23" priority="3">
      <formula>J$3=TODAY()</formula>
    </cfRule>
  </conditionalFormatting>
  <conditionalFormatting sqref="J5:AY454">
    <cfRule type="expression" dxfId="22" priority="2">
      <formula>AND(NETWORKDAYS(J$3,J$3,Holiday_Dates)=0, NOT(J$3=Special_Workdays))</formula>
    </cfRule>
  </conditionalFormatting>
  <conditionalFormatting sqref="J6:AY68">
    <cfRule type="expression" dxfId="21" priority="4">
      <formula>AND(J$3&gt;=$C6,J$3&lt;=$D6,NOT($D6="-"))</formula>
    </cfRule>
  </conditionalFormatting>
  <dataValidations count="2">
    <dataValidation type="list" allowBlank="1" showInputMessage="1" showErrorMessage="1" sqref="F5:F1048576" xr:uid="{1C87CB07-9A51-4704-84B9-9AC5D07B8EB7}">
      <formula1>"Not Start,In Progress, Done, Discard"</formula1>
    </dataValidation>
    <dataValidation type="list" allowBlank="1" showInputMessage="1" showErrorMessage="1" sqref="A6:A68" xr:uid="{ECF80431-9F63-426F-AB43-56374D535976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227103-BE36-4649-9DF6-3F1A649606F0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8EA8-847E-41E6-9D85-E7D1C8F3EA41}">
  <sheetPr codeName="Sheet11"/>
  <dimension ref="A1:AY454"/>
  <sheetViews>
    <sheetView workbookViewId="0">
      <pane ySplit="4" topLeftCell="A5" activePane="bottomLeft" state="frozen"/>
      <selection pane="bottomLeft" activeCell="A5" sqref="A5"/>
    </sheetView>
  </sheetViews>
  <sheetFormatPr defaultColWidth="9" defaultRowHeight="14.4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169</v>
      </c>
      <c r="B1" s="10"/>
    </row>
    <row r="2" spans="1:51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20" priority="5" operator="equal">
      <formula>"Discard"</formula>
    </cfRule>
    <cfRule type="cellIs" dxfId="19" priority="6" operator="equal">
      <formula>"Done"</formula>
    </cfRule>
    <cfRule type="cellIs" dxfId="18" priority="7" operator="equal">
      <formula>"In Progress"</formula>
    </cfRule>
  </conditionalFormatting>
  <conditionalFormatting sqref="J3:AY4">
    <cfRule type="expression" dxfId="17" priority="1">
      <formula>MATCH(J$3,Holiday_Dates,0)</formula>
    </cfRule>
  </conditionalFormatting>
  <conditionalFormatting sqref="J3:AY454">
    <cfRule type="expression" dxfId="16" priority="3">
      <formula>J$3=TODAY()</formula>
    </cfRule>
  </conditionalFormatting>
  <conditionalFormatting sqref="J5:AY454">
    <cfRule type="expression" dxfId="15" priority="2">
      <formula>AND(NETWORKDAYS(J$3,J$3,Holiday_Dates)=0, NOT(J$3=Special_Workdays))</formula>
    </cfRule>
  </conditionalFormatting>
  <conditionalFormatting sqref="J6:AY68">
    <cfRule type="expression" dxfId="14" priority="4">
      <formula>AND(J$3&gt;=$C6,J$3&lt;=$D6,NOT($D6="-"))</formula>
    </cfRule>
  </conditionalFormatting>
  <dataValidations count="2">
    <dataValidation type="list" allowBlank="1" showInputMessage="1" showErrorMessage="1" sqref="F5:F1048576" xr:uid="{4030BDF3-B86F-4C00-A47B-25693BCAD89F}">
      <formula1>"Not Start,In Progress, Done, Discard"</formula1>
    </dataValidation>
    <dataValidation type="list" allowBlank="1" showInputMessage="1" showErrorMessage="1" sqref="A6:A68" xr:uid="{FF917A3B-333C-4088-ADB2-4BFADCDE49A8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DDF76A-FB6F-4A5C-BAA8-5CE5F710F666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C0FD9-D1E4-4A0F-8F90-C2CAC9D05A82}">
  <sheetPr codeName="Sheet12"/>
  <dimension ref="A1:AY454"/>
  <sheetViews>
    <sheetView workbookViewId="0">
      <pane ySplit="4" topLeftCell="A5" activePane="bottomLeft" state="frozen"/>
      <selection pane="bottomLeft"/>
    </sheetView>
  </sheetViews>
  <sheetFormatPr defaultColWidth="9" defaultRowHeight="14.4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171</v>
      </c>
      <c r="B1" s="10"/>
    </row>
    <row r="2" spans="1:51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13" priority="5" operator="equal">
      <formula>"Discard"</formula>
    </cfRule>
    <cfRule type="cellIs" dxfId="12" priority="6" operator="equal">
      <formula>"Done"</formula>
    </cfRule>
    <cfRule type="cellIs" dxfId="11" priority="7" operator="equal">
      <formula>"In Progress"</formula>
    </cfRule>
  </conditionalFormatting>
  <conditionalFormatting sqref="J3:AY4">
    <cfRule type="expression" dxfId="10" priority="1">
      <formula>MATCH(J$3,Holiday_Dates,0)</formula>
    </cfRule>
  </conditionalFormatting>
  <conditionalFormatting sqref="J3:AY454">
    <cfRule type="expression" dxfId="9" priority="3">
      <formula>J$3=TODAY()</formula>
    </cfRule>
  </conditionalFormatting>
  <conditionalFormatting sqref="J5:AY454">
    <cfRule type="expression" dxfId="8" priority="2">
      <formula>AND(NETWORKDAYS(J$3,J$3,Holiday_Dates)=0, NOT(J$3=Special_Workdays))</formula>
    </cfRule>
  </conditionalFormatting>
  <conditionalFormatting sqref="J6:AY68">
    <cfRule type="expression" dxfId="7" priority="4">
      <formula>AND(J$3&gt;=$C6,J$3&lt;=$D6,NOT($D6="-"))</formula>
    </cfRule>
  </conditionalFormatting>
  <dataValidations count="2">
    <dataValidation type="list" allowBlank="1" showInputMessage="1" showErrorMessage="1" sqref="F5:F1048576" xr:uid="{71730584-AA31-43DA-B253-BC71462045D1}">
      <formula1>"Not Start,In Progress, Done, Discard"</formula1>
    </dataValidation>
    <dataValidation type="list" allowBlank="1" showInputMessage="1" showErrorMessage="1" sqref="A6:A68" xr:uid="{3FD62751-0D9A-4339-A24E-1CDC0A4F4C4A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711D88-C61E-4525-9350-4A7A1827B3C2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5197C-2DB7-4E85-9961-476B2D0EE0ED}">
  <sheetPr codeName="Sheet5"/>
  <dimension ref="A1:AY453"/>
  <sheetViews>
    <sheetView showGridLines="0" zoomScaleNormal="100" workbookViewId="0">
      <pane ySplit="4" topLeftCell="A5" activePane="bottomLeft" state="frozen"/>
      <selection pane="bottomLeft" activeCell="E18" sqref="E18"/>
    </sheetView>
  </sheetViews>
  <sheetFormatPr defaultColWidth="9" defaultRowHeight="14.4"/>
  <cols>
    <col min="1" max="1" width="22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8">
      <c r="A1" s="13" t="s">
        <v>170</v>
      </c>
      <c r="B1" s="10"/>
    </row>
    <row r="2" spans="1:51">
      <c r="A2" s="14" t="s">
        <v>50</v>
      </c>
      <c r="B2" s="10"/>
      <c r="G2" s="5" t="s">
        <v>71</v>
      </c>
      <c r="H2" s="32">
        <v>7</v>
      </c>
      <c r="J2" s="60">
        <f>J3</f>
        <v>45880</v>
      </c>
      <c r="K2" s="61"/>
      <c r="L2" s="61"/>
      <c r="M2" s="61"/>
      <c r="N2" s="61"/>
      <c r="O2" s="61"/>
      <c r="P2" s="62"/>
      <c r="Q2" s="60">
        <f t="shared" ref="Q2" si="0">Q3</f>
        <v>45887</v>
      </c>
      <c r="R2" s="61"/>
      <c r="S2" s="61"/>
      <c r="T2" s="61"/>
      <c r="U2" s="61"/>
      <c r="V2" s="61"/>
      <c r="W2" s="62"/>
      <c r="X2" s="60">
        <f t="shared" ref="X2" si="1">X3</f>
        <v>45894</v>
      </c>
      <c r="Y2" s="61"/>
      <c r="Z2" s="61"/>
      <c r="AA2" s="61"/>
      <c r="AB2" s="61"/>
      <c r="AC2" s="61"/>
      <c r="AD2" s="62"/>
      <c r="AE2" s="60">
        <f t="shared" ref="AE2" si="2">AE3</f>
        <v>45901</v>
      </c>
      <c r="AF2" s="61"/>
      <c r="AG2" s="61"/>
      <c r="AH2" s="61"/>
      <c r="AI2" s="61"/>
      <c r="AJ2" s="61"/>
      <c r="AK2" s="62"/>
      <c r="AL2" s="60">
        <f t="shared" ref="AL2" si="3">AL3</f>
        <v>45908</v>
      </c>
      <c r="AM2" s="61"/>
      <c r="AN2" s="61"/>
      <c r="AO2" s="61"/>
      <c r="AP2" s="61"/>
      <c r="AQ2" s="61"/>
      <c r="AR2" s="62"/>
      <c r="AS2" s="60">
        <f t="shared" ref="AS2" si="4">AS3</f>
        <v>45915</v>
      </c>
      <c r="AT2" s="61"/>
      <c r="AU2" s="61"/>
      <c r="AV2" s="61"/>
      <c r="AW2" s="61"/>
      <c r="AX2" s="61"/>
      <c r="AY2" s="62"/>
    </row>
    <row r="3" spans="1:51">
      <c r="G3" s="5" t="s">
        <v>69</v>
      </c>
      <c r="H3" s="21">
        <v>45839</v>
      </c>
      <c r="J3" s="27">
        <f>$H$3-WEEKDAY(Project_Start,3)+(Display_Week_Non_Project-1)*7</f>
        <v>45880</v>
      </c>
      <c r="K3" s="28">
        <f>J3+1</f>
        <v>45881</v>
      </c>
      <c r="L3" s="28">
        <f t="shared" ref="L3:AQ3" si="5">K3+1</f>
        <v>45882</v>
      </c>
      <c r="M3" s="28">
        <f t="shared" si="5"/>
        <v>45883</v>
      </c>
      <c r="N3" s="28">
        <f t="shared" si="5"/>
        <v>45884</v>
      </c>
      <c r="O3" s="28">
        <f t="shared" si="5"/>
        <v>45885</v>
      </c>
      <c r="P3" s="29">
        <f t="shared" si="5"/>
        <v>45886</v>
      </c>
      <c r="Q3" s="27">
        <f t="shared" si="5"/>
        <v>45887</v>
      </c>
      <c r="R3" s="28">
        <f t="shared" si="5"/>
        <v>45888</v>
      </c>
      <c r="S3" s="28">
        <f t="shared" si="5"/>
        <v>45889</v>
      </c>
      <c r="T3" s="28">
        <f t="shared" si="5"/>
        <v>45890</v>
      </c>
      <c r="U3" s="28">
        <f t="shared" si="5"/>
        <v>45891</v>
      </c>
      <c r="V3" s="28">
        <f t="shared" si="5"/>
        <v>45892</v>
      </c>
      <c r="W3" s="29">
        <f t="shared" si="5"/>
        <v>45893</v>
      </c>
      <c r="X3" s="27">
        <f t="shared" si="5"/>
        <v>45894</v>
      </c>
      <c r="Y3" s="28">
        <f t="shared" si="5"/>
        <v>45895</v>
      </c>
      <c r="Z3" s="28">
        <f t="shared" si="5"/>
        <v>45896</v>
      </c>
      <c r="AA3" s="28">
        <f t="shared" si="5"/>
        <v>45897</v>
      </c>
      <c r="AB3" s="28">
        <f>AA3+1</f>
        <v>45898</v>
      </c>
      <c r="AC3" s="28">
        <f t="shared" si="5"/>
        <v>45899</v>
      </c>
      <c r="AD3" s="29">
        <f t="shared" si="5"/>
        <v>45900</v>
      </c>
      <c r="AE3" s="27">
        <f t="shared" si="5"/>
        <v>45901</v>
      </c>
      <c r="AF3" s="28">
        <f t="shared" si="5"/>
        <v>45902</v>
      </c>
      <c r="AG3" s="28">
        <f t="shared" si="5"/>
        <v>45903</v>
      </c>
      <c r="AH3" s="28">
        <f t="shared" si="5"/>
        <v>45904</v>
      </c>
      <c r="AI3" s="28">
        <f t="shared" si="5"/>
        <v>45905</v>
      </c>
      <c r="AJ3" s="28">
        <f t="shared" si="5"/>
        <v>45906</v>
      </c>
      <c r="AK3" s="29">
        <f t="shared" si="5"/>
        <v>45907</v>
      </c>
      <c r="AL3" s="27">
        <f t="shared" si="5"/>
        <v>45908</v>
      </c>
      <c r="AM3" s="28">
        <f t="shared" si="5"/>
        <v>45909</v>
      </c>
      <c r="AN3" s="28">
        <f t="shared" si="5"/>
        <v>45910</v>
      </c>
      <c r="AO3" s="28">
        <f t="shared" si="5"/>
        <v>45911</v>
      </c>
      <c r="AP3" s="28">
        <f t="shared" si="5"/>
        <v>45912</v>
      </c>
      <c r="AQ3" s="28">
        <f t="shared" si="5"/>
        <v>45913</v>
      </c>
      <c r="AR3" s="29">
        <f>AQ3+1</f>
        <v>45914</v>
      </c>
      <c r="AS3" s="27">
        <f t="shared" ref="AS3" si="6">AR3+1</f>
        <v>45915</v>
      </c>
      <c r="AT3" s="28">
        <f t="shared" ref="AT3" si="7">AS3+1</f>
        <v>45916</v>
      </c>
      <c r="AU3" s="28">
        <f t="shared" ref="AU3" si="8">AT3+1</f>
        <v>45917</v>
      </c>
      <c r="AV3" s="28">
        <f t="shared" ref="AV3" si="9">AU3+1</f>
        <v>45918</v>
      </c>
      <c r="AW3" s="28">
        <f t="shared" ref="AW3" si="10">AV3+1</f>
        <v>45919</v>
      </c>
      <c r="AX3" s="28">
        <f t="shared" ref="AX3" si="11">AW3+1</f>
        <v>45920</v>
      </c>
      <c r="AY3" s="29">
        <f>AX3+1</f>
        <v>45921</v>
      </c>
    </row>
    <row r="4" spans="1:51" ht="28.5" customHeight="1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R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si="12"/>
        <v>M</v>
      </c>
      <c r="R4" s="25" t="str">
        <f t="shared" si="12"/>
        <v>T</v>
      </c>
      <c r="S4" s="25" t="str">
        <f t="shared" si="12"/>
        <v>W</v>
      </c>
      <c r="T4" s="25" t="str">
        <f t="shared" si="12"/>
        <v>T</v>
      </c>
      <c r="U4" s="25" t="str">
        <f t="shared" si="12"/>
        <v>F</v>
      </c>
      <c r="V4" s="25" t="str">
        <f t="shared" si="12"/>
        <v>S</v>
      </c>
      <c r="W4" s="25" t="str">
        <f t="shared" si="12"/>
        <v>S</v>
      </c>
      <c r="X4" s="25" t="str">
        <f t="shared" si="12"/>
        <v>M</v>
      </c>
      <c r="Y4" s="25" t="str">
        <f t="shared" si="12"/>
        <v>T</v>
      </c>
      <c r="Z4" s="25" t="str">
        <f t="shared" si="12"/>
        <v>W</v>
      </c>
      <c r="AA4" s="25" t="str">
        <f t="shared" si="12"/>
        <v>T</v>
      </c>
      <c r="AB4" s="25" t="str">
        <f t="shared" si="12"/>
        <v>F</v>
      </c>
      <c r="AC4" s="25" t="str">
        <f t="shared" si="12"/>
        <v>S</v>
      </c>
      <c r="AD4" s="25" t="str">
        <f t="shared" si="12"/>
        <v>S</v>
      </c>
      <c r="AE4" s="25" t="str">
        <f t="shared" si="12"/>
        <v>M</v>
      </c>
      <c r="AF4" s="25" t="str">
        <f t="shared" si="12"/>
        <v>T</v>
      </c>
      <c r="AG4" s="25" t="str">
        <f t="shared" si="12"/>
        <v>W</v>
      </c>
      <c r="AH4" s="25" t="str">
        <f t="shared" si="12"/>
        <v>T</v>
      </c>
      <c r="AI4" s="25" t="str">
        <f t="shared" si="12"/>
        <v>F</v>
      </c>
      <c r="AJ4" s="25" t="str">
        <f t="shared" si="12"/>
        <v>S</v>
      </c>
      <c r="AK4" s="25" t="str">
        <f t="shared" si="12"/>
        <v>S</v>
      </c>
      <c r="AL4" s="25" t="str">
        <f t="shared" si="12"/>
        <v>M</v>
      </c>
      <c r="AM4" s="25" t="str">
        <f t="shared" si="12"/>
        <v>T</v>
      </c>
      <c r="AN4" s="25" t="str">
        <f t="shared" si="12"/>
        <v>W</v>
      </c>
      <c r="AO4" s="25" t="str">
        <f t="shared" si="12"/>
        <v>T</v>
      </c>
      <c r="AP4" s="25" t="str">
        <f t="shared" si="12"/>
        <v>F</v>
      </c>
      <c r="AQ4" s="25" t="str">
        <f t="shared" si="12"/>
        <v>S</v>
      </c>
      <c r="AR4" s="25" t="str">
        <f t="shared" si="12"/>
        <v>S</v>
      </c>
      <c r="AS4" s="25" t="str">
        <f t="shared" ref="AS4:AY4" si="13">LEFT(TEXT(AS3, "ddd"),1)</f>
        <v>M</v>
      </c>
      <c r="AT4" s="25" t="str">
        <f t="shared" si="13"/>
        <v>T</v>
      </c>
      <c r="AU4" s="25" t="str">
        <f t="shared" si="13"/>
        <v>W</v>
      </c>
      <c r="AV4" s="25" t="str">
        <f t="shared" si="13"/>
        <v>T</v>
      </c>
      <c r="AW4" s="25" t="str">
        <f t="shared" si="13"/>
        <v>F</v>
      </c>
      <c r="AX4" s="25" t="str">
        <f t="shared" si="13"/>
        <v>S</v>
      </c>
      <c r="AY4" s="25" t="str">
        <f t="shared" si="13"/>
        <v>S</v>
      </c>
    </row>
    <row r="5" spans="1:51">
      <c r="A5" s="6" t="s">
        <v>89</v>
      </c>
      <c r="B5" s="6" t="s">
        <v>90</v>
      </c>
      <c r="C5" s="7">
        <v>45866</v>
      </c>
      <c r="D5" s="7">
        <f t="shared" ref="D5:D68" si="14">IF(OR(C5="",E5=""),"-",WORKDAY(C5,E5-1,Holiday_Dates))</f>
        <v>45875</v>
      </c>
      <c r="E5" s="9">
        <v>8</v>
      </c>
      <c r="F5" s="6" t="s">
        <v>43</v>
      </c>
      <c r="G5" s="6" t="s">
        <v>65</v>
      </c>
      <c r="H5" s="6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>
      <c r="A6" s="6" t="s">
        <v>89</v>
      </c>
      <c r="B6" s="6" t="s">
        <v>91</v>
      </c>
      <c r="C6" s="7">
        <v>45849</v>
      </c>
      <c r="D6" s="7">
        <f t="shared" si="14"/>
        <v>45875</v>
      </c>
      <c r="E6" s="9">
        <v>19</v>
      </c>
      <c r="F6" s="6" t="s">
        <v>6</v>
      </c>
      <c r="G6" s="6" t="s">
        <v>92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>
      <c r="A7" s="6" t="s">
        <v>93</v>
      </c>
      <c r="B7" s="6" t="s">
        <v>94</v>
      </c>
      <c r="C7" s="7">
        <v>45861</v>
      </c>
      <c r="D7" s="7">
        <f t="shared" si="14"/>
        <v>45863</v>
      </c>
      <c r="E7" s="9">
        <v>3</v>
      </c>
      <c r="F7" s="6" t="s">
        <v>6</v>
      </c>
      <c r="G7" s="6" t="s">
        <v>95</v>
      </c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>
      <c r="A8" s="6" t="s">
        <v>97</v>
      </c>
      <c r="B8" s="12" t="s">
        <v>98</v>
      </c>
      <c r="C8" s="7">
        <v>45866</v>
      </c>
      <c r="D8" s="7">
        <f t="shared" si="14"/>
        <v>45898</v>
      </c>
      <c r="E8" s="9">
        <v>25</v>
      </c>
      <c r="F8" s="6" t="s">
        <v>43</v>
      </c>
      <c r="G8" s="6" t="s">
        <v>61</v>
      </c>
      <c r="H8" s="8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>
      <c r="A9" s="6" t="s">
        <v>87</v>
      </c>
      <c r="B9" s="8" t="s">
        <v>99</v>
      </c>
      <c r="C9" s="7">
        <v>45862</v>
      </c>
      <c r="D9" s="7">
        <f t="shared" si="14"/>
        <v>45862</v>
      </c>
      <c r="E9" s="9">
        <v>1</v>
      </c>
      <c r="F9" s="6" t="s">
        <v>7</v>
      </c>
      <c r="G9" s="6" t="s">
        <v>41</v>
      </c>
      <c r="H9" s="6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>
      <c r="A10" s="6" t="s">
        <v>93</v>
      </c>
      <c r="B10" s="8" t="s">
        <v>101</v>
      </c>
      <c r="C10" s="7"/>
      <c r="D10" s="7" t="str">
        <f t="shared" si="14"/>
        <v>-</v>
      </c>
      <c r="E10" s="9"/>
      <c r="F10" s="6" t="s">
        <v>43</v>
      </c>
      <c r="G10" s="6" t="s">
        <v>105</v>
      </c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>
      <c r="A11" s="6" t="s">
        <v>93</v>
      </c>
      <c r="B11" s="8" t="s">
        <v>102</v>
      </c>
      <c r="C11" s="7"/>
      <c r="D11" s="7" t="str">
        <f t="shared" si="14"/>
        <v>-</v>
      </c>
      <c r="E11" s="9"/>
      <c r="F11" s="6" t="s">
        <v>43</v>
      </c>
      <c r="G11" s="6" t="s">
        <v>103</v>
      </c>
      <c r="H11" s="8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>
      <c r="A12" s="6" t="s">
        <v>97</v>
      </c>
      <c r="B12" s="6" t="s">
        <v>104</v>
      </c>
      <c r="C12" s="7">
        <v>45859</v>
      </c>
      <c r="D12" s="7">
        <f t="shared" si="14"/>
        <v>45863</v>
      </c>
      <c r="E12" s="9">
        <v>5</v>
      </c>
      <c r="F12" s="6" t="s">
        <v>7</v>
      </c>
      <c r="G12" s="6" t="s">
        <v>61</v>
      </c>
      <c r="H12" s="6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>
      <c r="A13" s="6" t="s">
        <v>93</v>
      </c>
      <c r="B13" s="6" t="s">
        <v>106</v>
      </c>
      <c r="C13" s="7">
        <v>45870</v>
      </c>
      <c r="D13" s="7">
        <f t="shared" si="14"/>
        <v>45943</v>
      </c>
      <c r="E13" s="9">
        <v>46</v>
      </c>
      <c r="F13" s="6" t="s">
        <v>43</v>
      </c>
      <c r="G13" s="6" t="s">
        <v>107</v>
      </c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>
      <c r="A14" s="6" t="s">
        <v>97</v>
      </c>
      <c r="B14" s="6" t="s">
        <v>108</v>
      </c>
      <c r="C14" s="7"/>
      <c r="D14" s="7" t="str">
        <f t="shared" si="14"/>
        <v>-</v>
      </c>
      <c r="E14" s="9"/>
      <c r="F14" s="6" t="s">
        <v>43</v>
      </c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>
      <c r="A15" s="6" t="s">
        <v>93</v>
      </c>
      <c r="B15" s="6" t="s">
        <v>109</v>
      </c>
      <c r="C15" s="7">
        <v>45863</v>
      </c>
      <c r="D15" s="7">
        <f t="shared" si="14"/>
        <v>45867</v>
      </c>
      <c r="E15" s="9">
        <v>3</v>
      </c>
      <c r="F15" s="6" t="s">
        <v>6</v>
      </c>
      <c r="G15" s="6" t="s">
        <v>41</v>
      </c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>
      <c r="A16" s="6" t="s">
        <v>93</v>
      </c>
      <c r="B16" s="6" t="s">
        <v>110</v>
      </c>
      <c r="C16" s="7">
        <v>45839</v>
      </c>
      <c r="D16" s="7">
        <f t="shared" si="14"/>
        <v>45869</v>
      </c>
      <c r="E16" s="9">
        <v>23</v>
      </c>
      <c r="F16" s="6" t="s">
        <v>6</v>
      </c>
      <c r="G16" s="6" t="s">
        <v>103</v>
      </c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>
      <c r="A17" s="6"/>
      <c r="B17" s="6"/>
      <c r="C17" s="7"/>
      <c r="D17" s="7" t="str">
        <f t="shared" si="14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>
      <c r="A18" s="6"/>
      <c r="B18" s="6"/>
      <c r="C18" s="7"/>
      <c r="D18" s="7" t="str">
        <f t="shared" si="14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>
      <c r="A19" s="6"/>
      <c r="B19" s="6"/>
      <c r="C19" s="7"/>
      <c r="D19" s="7" t="str">
        <f t="shared" si="14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>
      <c r="A20" s="6"/>
      <c r="B20" s="6"/>
      <c r="C20" s="7"/>
      <c r="D20" s="7" t="str">
        <f t="shared" si="14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>
      <c r="A21" s="6"/>
      <c r="B21" s="6"/>
      <c r="C21" s="7"/>
      <c r="D21" s="7" t="str">
        <f t="shared" si="14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>
      <c r="A22" s="6"/>
      <c r="B22" s="6"/>
      <c r="C22" s="7"/>
      <c r="D22" s="7" t="str">
        <f t="shared" si="14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>
      <c r="A23" s="6"/>
      <c r="B23" s="6"/>
      <c r="C23" s="7"/>
      <c r="D23" s="7" t="str">
        <f t="shared" si="14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>
      <c r="A24" s="6"/>
      <c r="B24" s="6"/>
      <c r="C24" s="7"/>
      <c r="D24" s="7" t="str">
        <f t="shared" si="14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>
      <c r="A25" s="6"/>
      <c r="B25" s="6"/>
      <c r="C25" s="7"/>
      <c r="D25" s="7" t="str">
        <f t="shared" si="14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>
      <c r="A26" s="6"/>
      <c r="B26" s="6"/>
      <c r="C26" s="7"/>
      <c r="D26" s="7" t="str">
        <f t="shared" si="14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>
      <c r="A27" s="6"/>
      <c r="B27" s="6"/>
      <c r="C27" s="7"/>
      <c r="D27" s="7" t="str">
        <f t="shared" si="14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>
      <c r="A28" s="6"/>
      <c r="B28" s="6"/>
      <c r="C28" s="7"/>
      <c r="D28" s="7" t="str">
        <f t="shared" si="14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>
      <c r="A29" s="6"/>
      <c r="B29" s="6"/>
      <c r="C29" s="7"/>
      <c r="D29" s="7" t="str">
        <f t="shared" si="14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>
      <c r="A30" s="6"/>
      <c r="B30" s="6"/>
      <c r="C30" s="7"/>
      <c r="D30" s="7" t="str">
        <f t="shared" si="14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>
      <c r="A31" s="6"/>
      <c r="B31" s="6"/>
      <c r="C31" s="7"/>
      <c r="D31" s="7" t="str">
        <f t="shared" si="14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>
      <c r="A32" s="6"/>
      <c r="B32" s="6"/>
      <c r="C32" s="7"/>
      <c r="D32" s="7" t="str">
        <f t="shared" si="14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>
      <c r="A33" s="6"/>
      <c r="B33" s="6"/>
      <c r="C33" s="7"/>
      <c r="D33" s="7" t="str">
        <f t="shared" si="14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>
      <c r="A34" s="6"/>
      <c r="B34" s="6"/>
      <c r="C34" s="7"/>
      <c r="D34" s="7" t="str">
        <f t="shared" si="14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>
      <c r="A35" s="6"/>
      <c r="B35" s="6"/>
      <c r="C35" s="7"/>
      <c r="D35" s="7" t="str">
        <f t="shared" si="14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>
      <c r="A36" s="6"/>
      <c r="B36" s="6"/>
      <c r="C36" s="7"/>
      <c r="D36" s="7" t="str">
        <f t="shared" si="14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>
      <c r="A37" s="6"/>
      <c r="B37" s="6"/>
      <c r="C37" s="7"/>
      <c r="D37" s="7" t="str">
        <f t="shared" si="14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>
      <c r="A38" s="6"/>
      <c r="B38" s="6"/>
      <c r="C38" s="7"/>
      <c r="D38" s="7" t="str">
        <f t="shared" si="14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>
      <c r="A39" s="6"/>
      <c r="B39" s="6"/>
      <c r="C39" s="7"/>
      <c r="D39" s="7" t="str">
        <f t="shared" si="14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>
      <c r="A40" s="6"/>
      <c r="B40" s="6"/>
      <c r="C40" s="7"/>
      <c r="D40" s="7" t="str">
        <f t="shared" si="14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>
      <c r="A41" s="6"/>
      <c r="B41" s="6"/>
      <c r="C41" s="7"/>
      <c r="D41" s="7" t="str">
        <f t="shared" si="14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>
      <c r="A42" s="6"/>
      <c r="B42" s="6"/>
      <c r="C42" s="7"/>
      <c r="D42" s="7" t="str">
        <f t="shared" si="14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>
      <c r="A43" s="6"/>
      <c r="B43" s="6"/>
      <c r="C43" s="7"/>
      <c r="D43" s="7" t="str">
        <f t="shared" si="14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>
      <c r="A44" s="6"/>
      <c r="B44" s="6"/>
      <c r="C44" s="7"/>
      <c r="D44" s="7" t="str">
        <f t="shared" si="14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>
      <c r="A45" s="6"/>
      <c r="B45" s="6"/>
      <c r="C45" s="7"/>
      <c r="D45" s="7" t="str">
        <f t="shared" si="14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>
      <c r="A46" s="6"/>
      <c r="B46" s="6"/>
      <c r="C46" s="7"/>
      <c r="D46" s="7" t="str">
        <f t="shared" si="14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>
      <c r="A47" s="6"/>
      <c r="B47" s="6"/>
      <c r="C47" s="7"/>
      <c r="D47" s="7" t="str">
        <f t="shared" si="14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>
      <c r="A48" s="6"/>
      <c r="B48" s="6"/>
      <c r="C48" s="7"/>
      <c r="D48" s="7" t="str">
        <f t="shared" si="14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>
      <c r="A49" s="6"/>
      <c r="B49" s="6"/>
      <c r="C49" s="7"/>
      <c r="D49" s="7" t="str">
        <f t="shared" si="14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>
      <c r="A50" s="6"/>
      <c r="B50" s="6"/>
      <c r="C50" s="7"/>
      <c r="D50" s="7" t="str">
        <f t="shared" si="14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>
      <c r="A51" s="6"/>
      <c r="B51" s="6"/>
      <c r="C51" s="7"/>
      <c r="D51" s="7" t="str">
        <f t="shared" si="14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>
      <c r="A52" s="6"/>
      <c r="B52" s="6"/>
      <c r="C52" s="7"/>
      <c r="D52" s="7" t="str">
        <f t="shared" si="14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>
      <c r="A53" s="6"/>
      <c r="B53" s="6"/>
      <c r="C53" s="7"/>
      <c r="D53" s="7" t="str">
        <f t="shared" si="14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>
      <c r="A54" s="6"/>
      <c r="B54" s="6"/>
      <c r="C54" s="7"/>
      <c r="D54" s="7" t="str">
        <f t="shared" si="14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>
      <c r="A55" s="6"/>
      <c r="B55" s="6"/>
      <c r="C55" s="7"/>
      <c r="D55" s="7" t="str">
        <f t="shared" si="14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>
      <c r="A56" s="6"/>
      <c r="B56" s="6"/>
      <c r="C56" s="7"/>
      <c r="D56" s="7" t="str">
        <f t="shared" si="14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>
      <c r="A57" s="6"/>
      <c r="B57" s="6"/>
      <c r="C57" s="7"/>
      <c r="D57" s="7" t="str">
        <f t="shared" si="14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>
      <c r="A58" s="6"/>
      <c r="B58" s="6"/>
      <c r="C58" s="7"/>
      <c r="D58" s="7" t="str">
        <f t="shared" si="14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>
      <c r="A59" s="6"/>
      <c r="B59" s="6"/>
      <c r="C59" s="7"/>
      <c r="D59" s="7" t="str">
        <f t="shared" si="14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>
      <c r="A60" s="6"/>
      <c r="B60" s="6"/>
      <c r="C60" s="7"/>
      <c r="D60" s="7" t="str">
        <f t="shared" si="14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>
      <c r="A61" s="6"/>
      <c r="B61" s="6"/>
      <c r="C61" s="7"/>
      <c r="D61" s="7" t="str">
        <f t="shared" si="14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>
      <c r="A62" s="6"/>
      <c r="B62" s="6"/>
      <c r="C62" s="7"/>
      <c r="D62" s="7" t="str">
        <f t="shared" si="14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>
      <c r="A63" s="6"/>
      <c r="B63" s="6"/>
      <c r="C63" s="7"/>
      <c r="D63" s="7" t="str">
        <f t="shared" si="14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>
      <c r="A64" s="6"/>
      <c r="B64" s="6"/>
      <c r="C64" s="7"/>
      <c r="D64" s="7" t="str">
        <f t="shared" si="14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>
      <c r="A65" s="6"/>
      <c r="B65" s="6"/>
      <c r="C65" s="7"/>
      <c r="D65" s="7" t="str">
        <f t="shared" si="14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>
      <c r="A66" s="6"/>
      <c r="B66" s="6"/>
      <c r="C66" s="7"/>
      <c r="D66" s="7" t="str">
        <f t="shared" si="14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>
      <c r="A67" s="6"/>
      <c r="B67" s="6"/>
      <c r="C67" s="7"/>
      <c r="D67" s="7" t="str">
        <f t="shared" si="14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>
      <c r="A68" s="6"/>
      <c r="B68" s="6"/>
      <c r="C68" s="7"/>
      <c r="D68" s="7" t="str">
        <f t="shared" si="14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>
      <c r="A69" s="6"/>
      <c r="B69" s="6"/>
      <c r="C69" s="7"/>
      <c r="D69" s="7" t="str">
        <f t="shared" ref="D69:D132" si="15">IF(OR(C69="",E69=""),"-",WORKDAY(C69,E69-1,Holiday_Dates))</f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>
      <c r="A70" s="6"/>
      <c r="B70" s="6"/>
      <c r="C70" s="7"/>
      <c r="D70" s="7" t="str">
        <f t="shared" si="15"/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>
      <c r="A71" s="6"/>
      <c r="B71" s="6"/>
      <c r="C71" s="7"/>
      <c r="D71" s="7" t="str">
        <f t="shared" si="15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>
      <c r="A72" s="6"/>
      <c r="B72" s="6"/>
      <c r="C72" s="7"/>
      <c r="D72" s="7" t="str">
        <f t="shared" si="15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>
      <c r="A73" s="6"/>
      <c r="B73" s="6"/>
      <c r="C73" s="7"/>
      <c r="D73" s="7" t="str">
        <f t="shared" si="15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>
      <c r="A74" s="6"/>
      <c r="B74" s="6"/>
      <c r="C74" s="7"/>
      <c r="D74" s="7" t="str">
        <f t="shared" si="15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>
      <c r="A75" s="6"/>
      <c r="B75" s="6"/>
      <c r="C75" s="7"/>
      <c r="D75" s="7" t="str">
        <f t="shared" si="15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>
      <c r="A76" s="6"/>
      <c r="B76" s="6"/>
      <c r="C76" s="7"/>
      <c r="D76" s="7" t="str">
        <f t="shared" si="15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>
      <c r="A77" s="6"/>
      <c r="B77" s="6"/>
      <c r="C77" s="7"/>
      <c r="D77" s="7" t="str">
        <f t="shared" si="15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>
      <c r="A78" s="6"/>
      <c r="B78" s="6"/>
      <c r="C78" s="7"/>
      <c r="D78" s="7" t="str">
        <f t="shared" si="15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>
      <c r="A79" s="6"/>
      <c r="B79" s="6"/>
      <c r="C79" s="7"/>
      <c r="D79" s="7" t="str">
        <f t="shared" si="15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>
      <c r="A80" s="6"/>
      <c r="B80" s="6"/>
      <c r="C80" s="7"/>
      <c r="D80" s="7" t="str">
        <f t="shared" si="15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>
      <c r="A81" s="6"/>
      <c r="B81" s="6"/>
      <c r="C81" s="7"/>
      <c r="D81" s="7" t="str">
        <f t="shared" si="15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>
      <c r="A82" s="6"/>
      <c r="B82" s="6"/>
      <c r="C82" s="7"/>
      <c r="D82" s="7" t="str">
        <f t="shared" si="15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>
      <c r="A83" s="6"/>
      <c r="B83" s="6"/>
      <c r="C83" s="7"/>
      <c r="D83" s="7" t="str">
        <f t="shared" si="15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>
      <c r="A84" s="6"/>
      <c r="B84" s="6"/>
      <c r="C84" s="7"/>
      <c r="D84" s="7" t="str">
        <f t="shared" si="15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>
      <c r="A85" s="6"/>
      <c r="B85" s="6"/>
      <c r="C85" s="7"/>
      <c r="D85" s="7" t="str">
        <f t="shared" si="15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>
      <c r="A86" s="6"/>
      <c r="B86" s="6"/>
      <c r="C86" s="7"/>
      <c r="D86" s="7" t="str">
        <f t="shared" si="15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>
      <c r="A87" s="6"/>
      <c r="B87" s="6"/>
      <c r="C87" s="7"/>
      <c r="D87" s="7" t="str">
        <f t="shared" si="15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>
      <c r="A88" s="6"/>
      <c r="B88" s="6"/>
      <c r="C88" s="7"/>
      <c r="D88" s="7" t="str">
        <f t="shared" si="15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>
      <c r="A89" s="6"/>
      <c r="B89" s="6"/>
      <c r="C89" s="7"/>
      <c r="D89" s="7" t="str">
        <f t="shared" si="15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>
      <c r="A90" s="6"/>
      <c r="B90" s="6"/>
      <c r="C90" s="7"/>
      <c r="D90" s="7" t="str">
        <f t="shared" si="15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>
      <c r="A91" s="6"/>
      <c r="B91" s="6"/>
      <c r="C91" s="7"/>
      <c r="D91" s="7" t="str">
        <f t="shared" si="15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>
      <c r="A92" s="6"/>
      <c r="B92" s="6"/>
      <c r="C92" s="7"/>
      <c r="D92" s="7" t="str">
        <f t="shared" si="15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>
      <c r="A93" s="6"/>
      <c r="B93" s="6"/>
      <c r="C93" s="7"/>
      <c r="D93" s="7" t="str">
        <f t="shared" si="15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>
      <c r="A94" s="6"/>
      <c r="B94" s="6"/>
      <c r="C94" s="7"/>
      <c r="D94" s="7" t="str">
        <f t="shared" si="15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>
      <c r="A95" s="6"/>
      <c r="B95" s="6"/>
      <c r="C95" s="7"/>
      <c r="D95" s="7" t="str">
        <f t="shared" si="15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>
      <c r="A96" s="6"/>
      <c r="B96" s="6"/>
      <c r="C96" s="7"/>
      <c r="D96" s="7" t="str">
        <f t="shared" si="15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>
      <c r="A97" s="6"/>
      <c r="B97" s="6"/>
      <c r="C97" s="7"/>
      <c r="D97" s="7" t="str">
        <f t="shared" si="15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>
      <c r="A98" s="6"/>
      <c r="B98" s="6"/>
      <c r="C98" s="7"/>
      <c r="D98" s="7" t="str">
        <f t="shared" si="15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>
      <c r="A99" s="6"/>
      <c r="B99" s="6"/>
      <c r="C99" s="7"/>
      <c r="D99" s="7" t="str">
        <f t="shared" si="15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>
      <c r="A100" s="6"/>
      <c r="B100" s="6"/>
      <c r="C100" s="7"/>
      <c r="D100" s="7" t="str">
        <f t="shared" si="15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>
      <c r="A101" s="6"/>
      <c r="B101" s="6"/>
      <c r="C101" s="7"/>
      <c r="D101" s="7" t="str">
        <f t="shared" si="15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>
      <c r="A102" s="6"/>
      <c r="B102" s="6"/>
      <c r="C102" s="7"/>
      <c r="D102" s="7" t="str">
        <f t="shared" si="15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>
      <c r="A103" s="6"/>
      <c r="B103" s="6"/>
      <c r="C103" s="7"/>
      <c r="D103" s="7" t="str">
        <f t="shared" si="15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>
      <c r="A104" s="6"/>
      <c r="B104" s="6"/>
      <c r="C104" s="7"/>
      <c r="D104" s="7" t="str">
        <f t="shared" si="15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>
      <c r="A105" s="6"/>
      <c r="B105" s="6"/>
      <c r="C105" s="7"/>
      <c r="D105" s="7" t="str">
        <f t="shared" si="15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>
      <c r="A106" s="6"/>
      <c r="B106" s="6"/>
      <c r="C106" s="7"/>
      <c r="D106" s="7" t="str">
        <f t="shared" si="15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>
      <c r="A107" s="6"/>
      <c r="B107" s="6"/>
      <c r="C107" s="7"/>
      <c r="D107" s="7" t="str">
        <f t="shared" si="15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>
      <c r="A108" s="6"/>
      <c r="B108" s="6"/>
      <c r="C108" s="7"/>
      <c r="D108" s="7" t="str">
        <f t="shared" si="15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>
      <c r="A109" s="6"/>
      <c r="B109" s="6"/>
      <c r="C109" s="7"/>
      <c r="D109" s="7" t="str">
        <f t="shared" si="15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>
      <c r="A110" s="6"/>
      <c r="B110" s="6"/>
      <c r="C110" s="7"/>
      <c r="D110" s="7" t="str">
        <f t="shared" si="15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>
      <c r="A111" s="6"/>
      <c r="B111" s="6"/>
      <c r="C111" s="7"/>
      <c r="D111" s="7" t="str">
        <f t="shared" si="15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>
      <c r="A112" s="6"/>
      <c r="B112" s="6"/>
      <c r="C112" s="7"/>
      <c r="D112" s="7" t="str">
        <f t="shared" si="15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>
      <c r="A113" s="6"/>
      <c r="B113" s="6"/>
      <c r="C113" s="7"/>
      <c r="D113" s="7" t="str">
        <f t="shared" si="15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>
      <c r="A114" s="6"/>
      <c r="B114" s="6"/>
      <c r="C114" s="7"/>
      <c r="D114" s="7" t="str">
        <f t="shared" si="15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>
      <c r="A115" s="6"/>
      <c r="B115" s="6"/>
      <c r="C115" s="7"/>
      <c r="D115" s="7" t="str">
        <f t="shared" si="15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>
      <c r="A116" s="6"/>
      <c r="B116" s="6"/>
      <c r="C116" s="7"/>
      <c r="D116" s="7" t="str">
        <f t="shared" si="15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>
      <c r="A117" s="6"/>
      <c r="B117" s="6"/>
      <c r="C117" s="7"/>
      <c r="D117" s="7" t="str">
        <f t="shared" si="15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>
      <c r="A118" s="6"/>
      <c r="B118" s="6"/>
      <c r="C118" s="7"/>
      <c r="D118" s="7" t="str">
        <f t="shared" si="15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>
      <c r="A119" s="6"/>
      <c r="B119" s="6"/>
      <c r="C119" s="7"/>
      <c r="D119" s="7" t="str">
        <f t="shared" si="15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>
      <c r="A120" s="6"/>
      <c r="B120" s="6"/>
      <c r="C120" s="7"/>
      <c r="D120" s="7" t="str">
        <f t="shared" si="15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>
      <c r="A121" s="6"/>
      <c r="B121" s="6"/>
      <c r="C121" s="7"/>
      <c r="D121" s="7" t="str">
        <f t="shared" si="15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>
      <c r="A122" s="6"/>
      <c r="B122" s="6"/>
      <c r="C122" s="7"/>
      <c r="D122" s="7" t="str">
        <f t="shared" si="15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>
      <c r="A123" s="6"/>
      <c r="B123" s="6"/>
      <c r="C123" s="7"/>
      <c r="D123" s="7" t="str">
        <f t="shared" si="15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>
      <c r="A124" s="6"/>
      <c r="B124" s="6"/>
      <c r="C124" s="7"/>
      <c r="D124" s="7" t="str">
        <f t="shared" si="15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>
      <c r="A125" s="6"/>
      <c r="B125" s="6"/>
      <c r="C125" s="7"/>
      <c r="D125" s="7" t="str">
        <f t="shared" si="15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>
      <c r="A126" s="6"/>
      <c r="B126" s="6"/>
      <c r="C126" s="7"/>
      <c r="D126" s="7" t="str">
        <f t="shared" si="15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>
      <c r="A127" s="6"/>
      <c r="B127" s="6"/>
      <c r="C127" s="7"/>
      <c r="D127" s="7" t="str">
        <f t="shared" si="15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>
      <c r="A128" s="6"/>
      <c r="B128" s="6"/>
      <c r="C128" s="7"/>
      <c r="D128" s="7" t="str">
        <f t="shared" si="15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>
      <c r="A129" s="6"/>
      <c r="B129" s="6"/>
      <c r="C129" s="7"/>
      <c r="D129" s="7" t="str">
        <f t="shared" si="15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>
      <c r="A130" s="6"/>
      <c r="B130" s="6"/>
      <c r="C130" s="7"/>
      <c r="D130" s="7" t="str">
        <f t="shared" si="15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>
      <c r="A131" s="6"/>
      <c r="B131" s="6"/>
      <c r="C131" s="7"/>
      <c r="D131" s="7" t="str">
        <f t="shared" si="15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>
      <c r="A132" s="6"/>
      <c r="B132" s="6"/>
      <c r="C132" s="7"/>
      <c r="D132" s="7" t="str">
        <f t="shared" si="15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>
      <c r="A133" s="6"/>
      <c r="B133" s="6"/>
      <c r="C133" s="7"/>
      <c r="D133" s="7" t="str">
        <f t="shared" ref="D133:D196" si="16">IF(OR(C133="",E133=""),"-",WORKDAY(C133,E133-1,Holiday_Dates))</f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>
      <c r="A134" s="6"/>
      <c r="B134" s="6"/>
      <c r="C134" s="7"/>
      <c r="D134" s="7" t="str">
        <f t="shared" si="16"/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>
      <c r="A135" s="6"/>
      <c r="B135" s="6"/>
      <c r="C135" s="7"/>
      <c r="D135" s="7" t="str">
        <f t="shared" si="16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>
      <c r="A136" s="6"/>
      <c r="B136" s="6"/>
      <c r="C136" s="7"/>
      <c r="D136" s="7" t="str">
        <f t="shared" si="16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>
      <c r="A137" s="6"/>
      <c r="B137" s="6"/>
      <c r="C137" s="7"/>
      <c r="D137" s="7" t="str">
        <f t="shared" si="16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>
      <c r="A138" s="6"/>
      <c r="B138" s="6"/>
      <c r="C138" s="7"/>
      <c r="D138" s="7" t="str">
        <f t="shared" si="16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>
      <c r="A139" s="6"/>
      <c r="B139" s="6"/>
      <c r="C139" s="7"/>
      <c r="D139" s="7" t="str">
        <f t="shared" si="16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>
      <c r="A140" s="6"/>
      <c r="B140" s="6"/>
      <c r="C140" s="7"/>
      <c r="D140" s="7" t="str">
        <f t="shared" si="16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>
      <c r="A141" s="6"/>
      <c r="B141" s="6"/>
      <c r="C141" s="7"/>
      <c r="D141" s="7" t="str">
        <f t="shared" si="16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>
      <c r="A142" s="6"/>
      <c r="B142" s="6"/>
      <c r="C142" s="7"/>
      <c r="D142" s="7" t="str">
        <f t="shared" si="16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>
      <c r="A143" s="6"/>
      <c r="B143" s="6"/>
      <c r="C143" s="7"/>
      <c r="D143" s="7" t="str">
        <f t="shared" si="16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>
      <c r="A144" s="6"/>
      <c r="B144" s="6"/>
      <c r="C144" s="7"/>
      <c r="D144" s="7" t="str">
        <f t="shared" si="16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>
      <c r="A145" s="6"/>
      <c r="B145" s="6"/>
      <c r="C145" s="7"/>
      <c r="D145" s="7" t="str">
        <f t="shared" si="16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>
      <c r="A146" s="6"/>
      <c r="B146" s="6"/>
      <c r="C146" s="7"/>
      <c r="D146" s="7" t="str">
        <f t="shared" si="16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>
      <c r="A147" s="6"/>
      <c r="B147" s="6"/>
      <c r="C147" s="7"/>
      <c r="D147" s="7" t="str">
        <f t="shared" si="16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>
      <c r="A148" s="6"/>
      <c r="B148" s="6"/>
      <c r="C148" s="7"/>
      <c r="D148" s="7" t="str">
        <f t="shared" si="16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>
      <c r="A149" s="6"/>
      <c r="B149" s="6"/>
      <c r="C149" s="7"/>
      <c r="D149" s="7" t="str">
        <f t="shared" si="16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>
      <c r="A150" s="6"/>
      <c r="B150" s="6"/>
      <c r="C150" s="7"/>
      <c r="D150" s="7" t="str">
        <f t="shared" si="16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>
      <c r="A151" s="6"/>
      <c r="B151" s="6"/>
      <c r="C151" s="7"/>
      <c r="D151" s="7" t="str">
        <f t="shared" si="16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>
      <c r="A152" s="6"/>
      <c r="B152" s="6"/>
      <c r="C152" s="7"/>
      <c r="D152" s="7" t="str">
        <f t="shared" si="16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>
      <c r="A153" s="6"/>
      <c r="B153" s="6"/>
      <c r="C153" s="7"/>
      <c r="D153" s="7" t="str">
        <f t="shared" si="16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>
      <c r="A154" s="6"/>
      <c r="B154" s="6"/>
      <c r="C154" s="7"/>
      <c r="D154" s="7" t="str">
        <f t="shared" si="16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>
      <c r="A155" s="6"/>
      <c r="B155" s="6"/>
      <c r="C155" s="7"/>
      <c r="D155" s="7" t="str">
        <f t="shared" si="16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>
      <c r="A156" s="6"/>
      <c r="B156" s="6"/>
      <c r="C156" s="7"/>
      <c r="D156" s="7" t="str">
        <f t="shared" si="16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>
      <c r="A157" s="6"/>
      <c r="B157" s="6"/>
      <c r="C157" s="7"/>
      <c r="D157" s="7" t="str">
        <f t="shared" si="16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>
      <c r="A158" s="6"/>
      <c r="B158" s="6"/>
      <c r="C158" s="7"/>
      <c r="D158" s="7" t="str">
        <f t="shared" si="16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>
      <c r="A159" s="6"/>
      <c r="B159" s="6"/>
      <c r="C159" s="7"/>
      <c r="D159" s="7" t="str">
        <f t="shared" si="16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>
      <c r="A160" s="6"/>
      <c r="B160" s="6"/>
      <c r="C160" s="7"/>
      <c r="D160" s="7" t="str">
        <f t="shared" si="16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>
      <c r="A161" s="6"/>
      <c r="B161" s="6"/>
      <c r="C161" s="7"/>
      <c r="D161" s="7" t="str">
        <f t="shared" si="16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>
      <c r="A162" s="6"/>
      <c r="B162" s="6"/>
      <c r="C162" s="7"/>
      <c r="D162" s="7" t="str">
        <f t="shared" si="16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>
      <c r="A163" s="6"/>
      <c r="B163" s="6"/>
      <c r="C163" s="7"/>
      <c r="D163" s="7" t="str">
        <f t="shared" si="16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>
      <c r="A164" s="6"/>
      <c r="B164" s="6"/>
      <c r="C164" s="7"/>
      <c r="D164" s="7" t="str">
        <f t="shared" si="16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>
      <c r="A165" s="6"/>
      <c r="B165" s="6"/>
      <c r="C165" s="7"/>
      <c r="D165" s="7" t="str">
        <f t="shared" si="16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>
      <c r="A166" s="6"/>
      <c r="B166" s="6"/>
      <c r="C166" s="7"/>
      <c r="D166" s="7" t="str">
        <f t="shared" si="16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>
      <c r="A167" s="6"/>
      <c r="B167" s="6"/>
      <c r="C167" s="7"/>
      <c r="D167" s="7" t="str">
        <f t="shared" si="16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>
      <c r="A168" s="6"/>
      <c r="B168" s="6"/>
      <c r="C168" s="7"/>
      <c r="D168" s="7" t="str">
        <f t="shared" si="16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>
      <c r="A169" s="6"/>
      <c r="B169" s="6"/>
      <c r="C169" s="7"/>
      <c r="D169" s="7" t="str">
        <f t="shared" si="16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>
      <c r="A170" s="6"/>
      <c r="B170" s="6"/>
      <c r="C170" s="7"/>
      <c r="D170" s="7" t="str">
        <f t="shared" si="16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>
      <c r="A171" s="6"/>
      <c r="B171" s="6"/>
      <c r="C171" s="7"/>
      <c r="D171" s="7" t="str">
        <f t="shared" si="16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>
      <c r="A172" s="6"/>
      <c r="B172" s="6"/>
      <c r="C172" s="7"/>
      <c r="D172" s="7" t="str">
        <f t="shared" si="16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>
      <c r="A173" s="6"/>
      <c r="B173" s="6"/>
      <c r="C173" s="7"/>
      <c r="D173" s="7" t="str">
        <f t="shared" si="16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>
      <c r="A174" s="6"/>
      <c r="B174" s="6"/>
      <c r="C174" s="7"/>
      <c r="D174" s="7" t="str">
        <f t="shared" si="16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>
      <c r="A175" s="6"/>
      <c r="B175" s="6"/>
      <c r="C175" s="7"/>
      <c r="D175" s="7" t="str">
        <f t="shared" si="16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>
      <c r="A176" s="6"/>
      <c r="B176" s="6"/>
      <c r="C176" s="7"/>
      <c r="D176" s="7" t="str">
        <f t="shared" si="16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>
      <c r="A177" s="6"/>
      <c r="B177" s="6"/>
      <c r="C177" s="7"/>
      <c r="D177" s="7" t="str">
        <f t="shared" si="16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>
      <c r="A178" s="6"/>
      <c r="B178" s="6"/>
      <c r="C178" s="7"/>
      <c r="D178" s="7" t="str">
        <f t="shared" si="16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>
      <c r="A179" s="6"/>
      <c r="B179" s="6"/>
      <c r="C179" s="7"/>
      <c r="D179" s="7" t="str">
        <f t="shared" si="16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>
      <c r="A180" s="6"/>
      <c r="B180" s="6"/>
      <c r="C180" s="7"/>
      <c r="D180" s="7" t="str">
        <f t="shared" si="16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>
      <c r="A181" s="6"/>
      <c r="B181" s="6"/>
      <c r="C181" s="7"/>
      <c r="D181" s="7" t="str">
        <f t="shared" si="16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>
      <c r="A182" s="6"/>
      <c r="B182" s="6"/>
      <c r="C182" s="7"/>
      <c r="D182" s="7" t="str">
        <f t="shared" si="16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>
      <c r="A183" s="6"/>
      <c r="B183" s="6"/>
      <c r="C183" s="7"/>
      <c r="D183" s="7" t="str">
        <f t="shared" si="16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>
      <c r="A184" s="6"/>
      <c r="B184" s="6"/>
      <c r="C184" s="7"/>
      <c r="D184" s="7" t="str">
        <f t="shared" si="16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>
      <c r="A185" s="6"/>
      <c r="B185" s="6"/>
      <c r="C185" s="7"/>
      <c r="D185" s="7" t="str">
        <f t="shared" si="16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>
      <c r="A186" s="6"/>
      <c r="B186" s="6"/>
      <c r="C186" s="7"/>
      <c r="D186" s="7" t="str">
        <f t="shared" si="16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>
      <c r="A187" s="6"/>
      <c r="B187" s="6"/>
      <c r="C187" s="7"/>
      <c r="D187" s="7" t="str">
        <f t="shared" si="16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>
      <c r="A188" s="6"/>
      <c r="B188" s="6"/>
      <c r="C188" s="7"/>
      <c r="D188" s="7" t="str">
        <f t="shared" si="16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>
      <c r="A189" s="6"/>
      <c r="B189" s="6"/>
      <c r="C189" s="7"/>
      <c r="D189" s="7" t="str">
        <f t="shared" si="16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>
      <c r="A190" s="6"/>
      <c r="B190" s="6"/>
      <c r="C190" s="7"/>
      <c r="D190" s="7" t="str">
        <f t="shared" si="16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>
      <c r="A191" s="6"/>
      <c r="B191" s="6"/>
      <c r="C191" s="7"/>
      <c r="D191" s="7" t="str">
        <f t="shared" si="16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>
      <c r="A192" s="6"/>
      <c r="B192" s="6"/>
      <c r="C192" s="7"/>
      <c r="D192" s="7" t="str">
        <f t="shared" si="16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>
      <c r="A193" s="6"/>
      <c r="B193" s="6"/>
      <c r="C193" s="7"/>
      <c r="D193" s="7" t="str">
        <f t="shared" si="16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>
      <c r="A194" s="6"/>
      <c r="B194" s="6"/>
      <c r="C194" s="7"/>
      <c r="D194" s="7" t="str">
        <f t="shared" si="16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>
      <c r="A195" s="6"/>
      <c r="B195" s="6"/>
      <c r="C195" s="7"/>
      <c r="D195" s="7" t="str">
        <f t="shared" si="16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>
      <c r="A196" s="6"/>
      <c r="B196" s="6"/>
      <c r="C196" s="7"/>
      <c r="D196" s="7" t="str">
        <f t="shared" si="16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>
      <c r="A197" s="6"/>
      <c r="B197" s="6"/>
      <c r="C197" s="7"/>
      <c r="D197" s="7" t="str">
        <f t="shared" ref="D197:D260" si="17">IF(OR(C197="",E197=""),"-",WORKDAY(C197,E197-1,Holiday_Dates))</f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>
      <c r="A198" s="6"/>
      <c r="B198" s="6"/>
      <c r="C198" s="7"/>
      <c r="D198" s="7" t="str">
        <f t="shared" si="17"/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>
      <c r="A199" s="6"/>
      <c r="B199" s="6"/>
      <c r="C199" s="7"/>
      <c r="D199" s="7" t="str">
        <f t="shared" si="17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>
      <c r="A200" s="6"/>
      <c r="B200" s="6"/>
      <c r="C200" s="7"/>
      <c r="D200" s="7" t="str">
        <f t="shared" si="17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>
      <c r="A201" s="6"/>
      <c r="B201" s="6"/>
      <c r="C201" s="7"/>
      <c r="D201" s="7" t="str">
        <f t="shared" si="17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>
      <c r="A202" s="6"/>
      <c r="B202" s="6"/>
      <c r="C202" s="7"/>
      <c r="D202" s="7" t="str">
        <f t="shared" si="17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>
      <c r="A203" s="6"/>
      <c r="B203" s="6"/>
      <c r="C203" s="7"/>
      <c r="D203" s="7" t="str">
        <f t="shared" si="17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>
      <c r="A204" s="6"/>
      <c r="B204" s="6"/>
      <c r="C204" s="7"/>
      <c r="D204" s="7" t="str">
        <f t="shared" si="17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>
      <c r="A205" s="6"/>
      <c r="B205" s="6"/>
      <c r="C205" s="7"/>
      <c r="D205" s="7" t="str">
        <f t="shared" si="17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>
      <c r="A206" s="6"/>
      <c r="B206" s="6"/>
      <c r="C206" s="7"/>
      <c r="D206" s="7" t="str">
        <f t="shared" si="17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>
      <c r="A207" s="6"/>
      <c r="B207" s="6"/>
      <c r="C207" s="7"/>
      <c r="D207" s="7" t="str">
        <f t="shared" si="17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>
      <c r="A208" s="6"/>
      <c r="B208" s="6"/>
      <c r="C208" s="7"/>
      <c r="D208" s="7" t="str">
        <f t="shared" si="17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>
      <c r="A209" s="6"/>
      <c r="B209" s="6"/>
      <c r="C209" s="7"/>
      <c r="D209" s="7" t="str">
        <f t="shared" si="17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>
      <c r="A210" s="6"/>
      <c r="B210" s="6"/>
      <c r="C210" s="7"/>
      <c r="D210" s="7" t="str">
        <f t="shared" si="17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>
      <c r="A211" s="6"/>
      <c r="B211" s="6"/>
      <c r="C211" s="7"/>
      <c r="D211" s="7" t="str">
        <f t="shared" si="17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>
      <c r="A212" s="6"/>
      <c r="B212" s="6"/>
      <c r="C212" s="7"/>
      <c r="D212" s="7" t="str">
        <f t="shared" si="17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>
      <c r="A213" s="6"/>
      <c r="B213" s="6"/>
      <c r="C213" s="7"/>
      <c r="D213" s="7" t="str">
        <f t="shared" si="17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>
      <c r="A214" s="6"/>
      <c r="B214" s="6"/>
      <c r="C214" s="7"/>
      <c r="D214" s="7" t="str">
        <f t="shared" si="17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>
      <c r="A215" s="6"/>
      <c r="B215" s="6"/>
      <c r="C215" s="7"/>
      <c r="D215" s="7" t="str">
        <f t="shared" si="17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>
      <c r="A216" s="6"/>
      <c r="B216" s="6"/>
      <c r="C216" s="7"/>
      <c r="D216" s="7" t="str">
        <f t="shared" si="17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>
      <c r="A217" s="6"/>
      <c r="B217" s="6"/>
      <c r="C217" s="7"/>
      <c r="D217" s="7" t="str">
        <f t="shared" si="17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>
      <c r="A218" s="6"/>
      <c r="B218" s="6"/>
      <c r="C218" s="7"/>
      <c r="D218" s="7" t="str">
        <f t="shared" si="17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>
      <c r="A219" s="6"/>
      <c r="B219" s="6"/>
      <c r="C219" s="7"/>
      <c r="D219" s="7" t="str">
        <f t="shared" si="17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>
      <c r="A220" s="6"/>
      <c r="B220" s="6"/>
      <c r="C220" s="7"/>
      <c r="D220" s="7" t="str">
        <f t="shared" si="17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>
      <c r="A221" s="6"/>
      <c r="B221" s="6"/>
      <c r="C221" s="7"/>
      <c r="D221" s="7" t="str">
        <f t="shared" si="17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>
      <c r="A222" s="6"/>
      <c r="B222" s="6"/>
      <c r="C222" s="7"/>
      <c r="D222" s="7" t="str">
        <f t="shared" si="17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>
      <c r="A223" s="6"/>
      <c r="B223" s="6"/>
      <c r="C223" s="7"/>
      <c r="D223" s="7" t="str">
        <f t="shared" si="17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>
      <c r="A224" s="6"/>
      <c r="B224" s="6"/>
      <c r="C224" s="7"/>
      <c r="D224" s="7" t="str">
        <f t="shared" si="17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>
      <c r="A225" s="6"/>
      <c r="B225" s="6"/>
      <c r="C225" s="7"/>
      <c r="D225" s="7" t="str">
        <f t="shared" si="17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>
      <c r="A226" s="6"/>
      <c r="B226" s="6"/>
      <c r="C226" s="7"/>
      <c r="D226" s="7" t="str">
        <f t="shared" si="17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>
      <c r="A227" s="6"/>
      <c r="B227" s="6"/>
      <c r="C227" s="7"/>
      <c r="D227" s="7" t="str">
        <f t="shared" si="17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>
      <c r="A228" s="6"/>
      <c r="B228" s="6"/>
      <c r="C228" s="7"/>
      <c r="D228" s="7" t="str">
        <f t="shared" si="17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>
      <c r="A229" s="6"/>
      <c r="B229" s="6"/>
      <c r="C229" s="7"/>
      <c r="D229" s="7" t="str">
        <f t="shared" si="17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>
      <c r="A230" s="6"/>
      <c r="B230" s="6"/>
      <c r="C230" s="7"/>
      <c r="D230" s="7" t="str">
        <f t="shared" si="17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>
      <c r="A231" s="6"/>
      <c r="B231" s="6"/>
      <c r="C231" s="7"/>
      <c r="D231" s="7" t="str">
        <f t="shared" si="17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>
      <c r="A232" s="6"/>
      <c r="B232" s="6"/>
      <c r="C232" s="7"/>
      <c r="D232" s="7" t="str">
        <f t="shared" si="17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>
      <c r="A233" s="6"/>
      <c r="B233" s="6"/>
      <c r="C233" s="7"/>
      <c r="D233" s="7" t="str">
        <f t="shared" si="17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>
      <c r="A234" s="6"/>
      <c r="B234" s="6"/>
      <c r="C234" s="7"/>
      <c r="D234" s="7" t="str">
        <f t="shared" si="17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>
      <c r="A235" s="6"/>
      <c r="B235" s="6"/>
      <c r="C235" s="7"/>
      <c r="D235" s="7" t="str">
        <f t="shared" si="17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>
      <c r="A236" s="6"/>
      <c r="B236" s="6"/>
      <c r="C236" s="7"/>
      <c r="D236" s="7" t="str">
        <f t="shared" si="17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>
      <c r="A237" s="6"/>
      <c r="B237" s="6"/>
      <c r="C237" s="7"/>
      <c r="D237" s="7" t="str">
        <f t="shared" si="17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>
      <c r="A238" s="6"/>
      <c r="B238" s="6"/>
      <c r="C238" s="7"/>
      <c r="D238" s="7" t="str">
        <f t="shared" si="17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>
      <c r="A239" s="6"/>
      <c r="B239" s="6"/>
      <c r="C239" s="7"/>
      <c r="D239" s="7" t="str">
        <f t="shared" si="17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>
      <c r="A240" s="6"/>
      <c r="B240" s="6"/>
      <c r="C240" s="7"/>
      <c r="D240" s="7" t="str">
        <f t="shared" si="17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>
      <c r="A241" s="6"/>
      <c r="B241" s="6"/>
      <c r="C241" s="7"/>
      <c r="D241" s="7" t="str">
        <f t="shared" si="17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>
      <c r="A242" s="6"/>
      <c r="B242" s="6"/>
      <c r="C242" s="7"/>
      <c r="D242" s="7" t="str">
        <f t="shared" si="17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>
      <c r="A243" s="6"/>
      <c r="B243" s="6"/>
      <c r="C243" s="7"/>
      <c r="D243" s="7" t="str">
        <f t="shared" si="17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>
      <c r="A244" s="6"/>
      <c r="B244" s="6"/>
      <c r="C244" s="7"/>
      <c r="D244" s="7" t="str">
        <f t="shared" si="17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>
      <c r="A245" s="6"/>
      <c r="B245" s="6"/>
      <c r="C245" s="7"/>
      <c r="D245" s="7" t="str">
        <f t="shared" si="17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>
      <c r="A246" s="6"/>
      <c r="B246" s="6"/>
      <c r="C246" s="7"/>
      <c r="D246" s="7" t="str">
        <f t="shared" si="17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>
      <c r="A247" s="6"/>
      <c r="B247" s="6"/>
      <c r="C247" s="7"/>
      <c r="D247" s="7" t="str">
        <f t="shared" si="17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>
      <c r="A248" s="6"/>
      <c r="B248" s="6"/>
      <c r="C248" s="7"/>
      <c r="D248" s="7" t="str">
        <f t="shared" si="17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>
      <c r="A249" s="6"/>
      <c r="B249" s="6"/>
      <c r="C249" s="7"/>
      <c r="D249" s="7" t="str">
        <f t="shared" si="17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>
      <c r="A250" s="6"/>
      <c r="B250" s="6"/>
      <c r="C250" s="7"/>
      <c r="D250" s="7" t="str">
        <f t="shared" si="17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>
      <c r="A251" s="6"/>
      <c r="B251" s="6"/>
      <c r="C251" s="7"/>
      <c r="D251" s="7" t="str">
        <f t="shared" si="17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>
      <c r="A252" s="6"/>
      <c r="B252" s="6"/>
      <c r="C252" s="7"/>
      <c r="D252" s="7" t="str">
        <f t="shared" si="17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>
      <c r="A253" s="6"/>
      <c r="B253" s="6"/>
      <c r="C253" s="7"/>
      <c r="D253" s="7" t="str">
        <f t="shared" si="17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>
      <c r="A254" s="6"/>
      <c r="B254" s="6"/>
      <c r="C254" s="7"/>
      <c r="D254" s="7" t="str">
        <f t="shared" si="17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>
      <c r="A255" s="6"/>
      <c r="B255" s="6"/>
      <c r="C255" s="7"/>
      <c r="D255" s="7" t="str">
        <f t="shared" si="17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>
      <c r="A256" s="6"/>
      <c r="B256" s="6"/>
      <c r="C256" s="7"/>
      <c r="D256" s="7" t="str">
        <f t="shared" si="17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>
      <c r="A257" s="6"/>
      <c r="B257" s="6"/>
      <c r="C257" s="7"/>
      <c r="D257" s="7" t="str">
        <f t="shared" si="17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>
      <c r="A258" s="6"/>
      <c r="B258" s="6"/>
      <c r="C258" s="7"/>
      <c r="D258" s="7" t="str">
        <f t="shared" si="17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>
      <c r="A259" s="6"/>
      <c r="B259" s="6"/>
      <c r="C259" s="7"/>
      <c r="D259" s="7" t="str">
        <f t="shared" si="17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>
      <c r="A260" s="6"/>
      <c r="B260" s="6"/>
      <c r="C260" s="7"/>
      <c r="D260" s="7" t="str">
        <f t="shared" si="17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>
      <c r="A261" s="6"/>
      <c r="B261" s="6"/>
      <c r="C261" s="7"/>
      <c r="D261" s="7" t="str">
        <f t="shared" ref="D261:D324" si="18">IF(OR(C261="",E261=""),"-",WORKDAY(C261,E261-1,Holiday_Dates))</f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>
      <c r="A262" s="6"/>
      <c r="B262" s="6"/>
      <c r="C262" s="7"/>
      <c r="D262" s="7" t="str">
        <f t="shared" si="18"/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>
      <c r="A263" s="6"/>
      <c r="B263" s="6"/>
      <c r="C263" s="7"/>
      <c r="D263" s="7" t="str">
        <f t="shared" si="18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>
      <c r="A264" s="6"/>
      <c r="B264" s="6"/>
      <c r="C264" s="7"/>
      <c r="D264" s="7" t="str">
        <f t="shared" si="18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>
      <c r="A265" s="6"/>
      <c r="B265" s="6"/>
      <c r="C265" s="7"/>
      <c r="D265" s="7" t="str">
        <f t="shared" si="18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>
      <c r="A266" s="6"/>
      <c r="B266" s="6"/>
      <c r="C266" s="7"/>
      <c r="D266" s="7" t="str">
        <f t="shared" si="18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>
      <c r="A267" s="6"/>
      <c r="B267" s="6"/>
      <c r="C267" s="7"/>
      <c r="D267" s="7" t="str">
        <f t="shared" si="18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>
      <c r="A268" s="6"/>
      <c r="B268" s="6"/>
      <c r="C268" s="7"/>
      <c r="D268" s="7" t="str">
        <f t="shared" si="18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>
      <c r="A269" s="6"/>
      <c r="B269" s="6"/>
      <c r="C269" s="7"/>
      <c r="D269" s="7" t="str">
        <f t="shared" si="18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>
      <c r="A270" s="6"/>
      <c r="B270" s="6"/>
      <c r="C270" s="7"/>
      <c r="D270" s="7" t="str">
        <f t="shared" si="18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>
      <c r="A271" s="6"/>
      <c r="B271" s="6"/>
      <c r="C271" s="7"/>
      <c r="D271" s="7" t="str">
        <f t="shared" si="18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>
      <c r="A272" s="6"/>
      <c r="B272" s="6"/>
      <c r="C272" s="7"/>
      <c r="D272" s="7" t="str">
        <f t="shared" si="18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>
      <c r="A273" s="6"/>
      <c r="B273" s="6"/>
      <c r="C273" s="7"/>
      <c r="D273" s="7" t="str">
        <f t="shared" si="18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>
      <c r="A274" s="6"/>
      <c r="B274" s="6"/>
      <c r="C274" s="7"/>
      <c r="D274" s="7" t="str">
        <f t="shared" si="18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>
      <c r="A275" s="6"/>
      <c r="B275" s="6"/>
      <c r="C275" s="7"/>
      <c r="D275" s="7" t="str">
        <f t="shared" si="18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>
      <c r="A276" s="6"/>
      <c r="B276" s="6"/>
      <c r="C276" s="7"/>
      <c r="D276" s="7" t="str">
        <f t="shared" si="18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>
      <c r="A277" s="6"/>
      <c r="B277" s="6"/>
      <c r="C277" s="7"/>
      <c r="D277" s="7" t="str">
        <f t="shared" si="18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>
      <c r="A278" s="6"/>
      <c r="B278" s="6"/>
      <c r="C278" s="7"/>
      <c r="D278" s="7" t="str">
        <f t="shared" si="18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>
      <c r="A279" s="6"/>
      <c r="B279" s="6"/>
      <c r="C279" s="7"/>
      <c r="D279" s="7" t="str">
        <f t="shared" si="18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>
      <c r="A280" s="6"/>
      <c r="B280" s="6"/>
      <c r="C280" s="7"/>
      <c r="D280" s="7" t="str">
        <f t="shared" si="18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>
      <c r="A281" s="6"/>
      <c r="B281" s="6"/>
      <c r="C281" s="7"/>
      <c r="D281" s="7" t="str">
        <f t="shared" si="18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>
      <c r="A282" s="6"/>
      <c r="B282" s="6"/>
      <c r="C282" s="7"/>
      <c r="D282" s="7" t="str">
        <f t="shared" si="18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>
      <c r="A283" s="6"/>
      <c r="B283" s="6"/>
      <c r="C283" s="7"/>
      <c r="D283" s="7" t="str">
        <f t="shared" si="18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>
      <c r="A284" s="6"/>
      <c r="B284" s="6"/>
      <c r="C284" s="7"/>
      <c r="D284" s="7" t="str">
        <f t="shared" si="18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>
      <c r="A285" s="6"/>
      <c r="B285" s="6"/>
      <c r="C285" s="7"/>
      <c r="D285" s="7" t="str">
        <f t="shared" si="18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>
      <c r="A286" s="6"/>
      <c r="B286" s="6"/>
      <c r="C286" s="7"/>
      <c r="D286" s="7" t="str">
        <f t="shared" si="18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>
      <c r="A287" s="6"/>
      <c r="B287" s="6"/>
      <c r="C287" s="7"/>
      <c r="D287" s="7" t="str">
        <f t="shared" si="18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>
      <c r="A288" s="6"/>
      <c r="B288" s="6"/>
      <c r="C288" s="7"/>
      <c r="D288" s="7" t="str">
        <f t="shared" si="18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>
      <c r="A289" s="6"/>
      <c r="B289" s="6"/>
      <c r="C289" s="7"/>
      <c r="D289" s="7" t="str">
        <f t="shared" si="18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>
      <c r="A290" s="6"/>
      <c r="B290" s="6"/>
      <c r="C290" s="7"/>
      <c r="D290" s="7" t="str">
        <f t="shared" si="18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>
      <c r="A291" s="6"/>
      <c r="B291" s="6"/>
      <c r="C291" s="7"/>
      <c r="D291" s="7" t="str">
        <f t="shared" si="18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>
      <c r="A292" s="6"/>
      <c r="B292" s="6"/>
      <c r="C292" s="7"/>
      <c r="D292" s="7" t="str">
        <f t="shared" si="18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>
      <c r="A293" s="6"/>
      <c r="B293" s="6"/>
      <c r="C293" s="7"/>
      <c r="D293" s="7" t="str">
        <f t="shared" si="18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>
      <c r="A294" s="6"/>
      <c r="B294" s="6"/>
      <c r="C294" s="7"/>
      <c r="D294" s="7" t="str">
        <f t="shared" si="18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>
      <c r="A295" s="6"/>
      <c r="B295" s="6"/>
      <c r="C295" s="7"/>
      <c r="D295" s="7" t="str">
        <f t="shared" si="18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>
      <c r="A296" s="6"/>
      <c r="B296" s="6"/>
      <c r="C296" s="7"/>
      <c r="D296" s="7" t="str">
        <f t="shared" si="18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>
      <c r="A297" s="6"/>
      <c r="B297" s="6"/>
      <c r="C297" s="7"/>
      <c r="D297" s="7" t="str">
        <f t="shared" si="18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>
      <c r="A298" s="6"/>
      <c r="B298" s="6"/>
      <c r="C298" s="7"/>
      <c r="D298" s="7" t="str">
        <f t="shared" si="18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>
      <c r="A299" s="6"/>
      <c r="B299" s="6"/>
      <c r="C299" s="7"/>
      <c r="D299" s="7" t="str">
        <f t="shared" si="18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>
      <c r="A300" s="6"/>
      <c r="B300" s="6"/>
      <c r="C300" s="7"/>
      <c r="D300" s="7" t="str">
        <f t="shared" si="18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>
      <c r="A301" s="6"/>
      <c r="B301" s="6"/>
      <c r="C301" s="7"/>
      <c r="D301" s="7" t="str">
        <f t="shared" si="18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>
      <c r="A302" s="6"/>
      <c r="B302" s="6"/>
      <c r="C302" s="7"/>
      <c r="D302" s="7" t="str">
        <f t="shared" si="18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>
      <c r="A303" s="6"/>
      <c r="B303" s="6"/>
      <c r="C303" s="7"/>
      <c r="D303" s="7" t="str">
        <f t="shared" si="18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>
      <c r="A304" s="6"/>
      <c r="B304" s="6"/>
      <c r="C304" s="7"/>
      <c r="D304" s="7" t="str">
        <f t="shared" si="18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>
      <c r="A305" s="6"/>
      <c r="B305" s="6"/>
      <c r="C305" s="7"/>
      <c r="D305" s="7" t="str">
        <f t="shared" si="18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>
      <c r="A306" s="6"/>
      <c r="B306" s="6"/>
      <c r="C306" s="7"/>
      <c r="D306" s="7" t="str">
        <f t="shared" si="18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>
      <c r="A307" s="6"/>
      <c r="B307" s="6"/>
      <c r="C307" s="7"/>
      <c r="D307" s="7" t="str">
        <f t="shared" si="18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>
      <c r="A308" s="6"/>
      <c r="B308" s="6"/>
      <c r="C308" s="7"/>
      <c r="D308" s="7" t="str">
        <f t="shared" si="18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>
      <c r="A309" s="6"/>
      <c r="B309" s="6"/>
      <c r="C309" s="7"/>
      <c r="D309" s="7" t="str">
        <f t="shared" si="18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>
      <c r="A310" s="6"/>
      <c r="B310" s="6"/>
      <c r="C310" s="7"/>
      <c r="D310" s="7" t="str">
        <f t="shared" si="18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>
      <c r="A311" s="6"/>
      <c r="B311" s="6"/>
      <c r="C311" s="7"/>
      <c r="D311" s="7" t="str">
        <f t="shared" si="18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>
      <c r="A312" s="6"/>
      <c r="B312" s="6"/>
      <c r="C312" s="7"/>
      <c r="D312" s="7" t="str">
        <f t="shared" si="18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>
      <c r="A313" s="6"/>
      <c r="B313" s="6"/>
      <c r="C313" s="7"/>
      <c r="D313" s="7" t="str">
        <f t="shared" si="18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>
      <c r="A314" s="6"/>
      <c r="B314" s="6"/>
      <c r="C314" s="7"/>
      <c r="D314" s="7" t="str">
        <f t="shared" si="18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>
      <c r="A315" s="6"/>
      <c r="B315" s="6"/>
      <c r="C315" s="7"/>
      <c r="D315" s="7" t="str">
        <f t="shared" si="18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>
      <c r="A316" s="6"/>
      <c r="B316" s="6"/>
      <c r="C316" s="7"/>
      <c r="D316" s="7" t="str">
        <f t="shared" si="18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>
      <c r="A317" s="6"/>
      <c r="B317" s="6"/>
      <c r="C317" s="7"/>
      <c r="D317" s="7" t="str">
        <f t="shared" si="18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>
      <c r="A318" s="6"/>
      <c r="B318" s="6"/>
      <c r="C318" s="7"/>
      <c r="D318" s="7" t="str">
        <f t="shared" si="18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>
      <c r="A319" s="6"/>
      <c r="B319" s="6"/>
      <c r="C319" s="7"/>
      <c r="D319" s="7" t="str">
        <f t="shared" si="18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>
      <c r="A320" s="6"/>
      <c r="B320" s="6"/>
      <c r="C320" s="7"/>
      <c r="D320" s="7" t="str">
        <f t="shared" si="18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>
      <c r="A321" s="6"/>
      <c r="B321" s="6"/>
      <c r="C321" s="7"/>
      <c r="D321" s="7" t="str">
        <f t="shared" si="18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>
      <c r="A322" s="6"/>
      <c r="B322" s="6"/>
      <c r="C322" s="7"/>
      <c r="D322" s="7" t="str">
        <f t="shared" si="18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>
      <c r="A323" s="6"/>
      <c r="B323" s="6"/>
      <c r="C323" s="7"/>
      <c r="D323" s="7" t="str">
        <f t="shared" si="18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>
      <c r="A324" s="6"/>
      <c r="B324" s="6"/>
      <c r="C324" s="7"/>
      <c r="D324" s="7" t="str">
        <f t="shared" si="18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>
      <c r="A325" s="6"/>
      <c r="B325" s="6"/>
      <c r="C325" s="7"/>
      <c r="D325" s="7" t="str">
        <f t="shared" ref="D325:D388" si="19">IF(OR(C325="",E325=""),"-",WORKDAY(C325,E325-1,Holiday_Dates))</f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>
      <c r="A326" s="6"/>
      <c r="B326" s="6"/>
      <c r="C326" s="7"/>
      <c r="D326" s="7" t="str">
        <f t="shared" si="19"/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>
      <c r="A327" s="6"/>
      <c r="B327" s="6"/>
      <c r="C327" s="7"/>
      <c r="D327" s="7" t="str">
        <f t="shared" si="19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>
      <c r="A328" s="6"/>
      <c r="B328" s="6"/>
      <c r="C328" s="7"/>
      <c r="D328" s="7" t="str">
        <f t="shared" si="19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>
      <c r="A329" s="6"/>
      <c r="B329" s="6"/>
      <c r="C329" s="7"/>
      <c r="D329" s="7" t="str">
        <f t="shared" si="19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>
      <c r="A330" s="6"/>
      <c r="B330" s="6"/>
      <c r="C330" s="7"/>
      <c r="D330" s="7" t="str">
        <f t="shared" si="19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>
      <c r="A331" s="6"/>
      <c r="B331" s="6"/>
      <c r="C331" s="7"/>
      <c r="D331" s="7" t="str">
        <f t="shared" si="19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>
      <c r="A332" s="6"/>
      <c r="B332" s="6"/>
      <c r="C332" s="7"/>
      <c r="D332" s="7" t="str">
        <f t="shared" si="19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>
      <c r="A333" s="6"/>
      <c r="B333" s="6"/>
      <c r="C333" s="7"/>
      <c r="D333" s="7" t="str">
        <f t="shared" si="19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>
      <c r="A334" s="6"/>
      <c r="B334" s="6"/>
      <c r="C334" s="7"/>
      <c r="D334" s="7" t="str">
        <f t="shared" si="19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>
      <c r="A335" s="6"/>
      <c r="B335" s="6"/>
      <c r="C335" s="7"/>
      <c r="D335" s="7" t="str">
        <f t="shared" si="19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>
      <c r="A336" s="6"/>
      <c r="B336" s="6"/>
      <c r="C336" s="7"/>
      <c r="D336" s="7" t="str">
        <f t="shared" si="19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>
      <c r="A337" s="6"/>
      <c r="B337" s="6"/>
      <c r="C337" s="7"/>
      <c r="D337" s="7" t="str">
        <f t="shared" si="19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>
      <c r="A338" s="6"/>
      <c r="B338" s="6"/>
      <c r="C338" s="7"/>
      <c r="D338" s="7" t="str">
        <f t="shared" si="19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>
      <c r="A339" s="6"/>
      <c r="B339" s="6"/>
      <c r="C339" s="7"/>
      <c r="D339" s="7" t="str">
        <f t="shared" si="19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>
      <c r="A340" s="6"/>
      <c r="B340" s="6"/>
      <c r="C340" s="7"/>
      <c r="D340" s="7" t="str">
        <f t="shared" si="19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>
      <c r="A341" s="6"/>
      <c r="B341" s="6"/>
      <c r="C341" s="7"/>
      <c r="D341" s="7" t="str">
        <f t="shared" si="19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>
      <c r="A342" s="6"/>
      <c r="B342" s="6"/>
      <c r="C342" s="7"/>
      <c r="D342" s="7" t="str">
        <f t="shared" si="19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>
      <c r="A343" s="6"/>
      <c r="B343" s="6"/>
      <c r="C343" s="7"/>
      <c r="D343" s="7" t="str">
        <f t="shared" si="19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>
      <c r="A344" s="6"/>
      <c r="B344" s="6"/>
      <c r="C344" s="7"/>
      <c r="D344" s="7" t="str">
        <f t="shared" si="19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>
      <c r="A345" s="6"/>
      <c r="B345" s="6"/>
      <c r="C345" s="7"/>
      <c r="D345" s="7" t="str">
        <f t="shared" si="19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>
      <c r="A346" s="6"/>
      <c r="B346" s="6"/>
      <c r="C346" s="7"/>
      <c r="D346" s="7" t="str">
        <f t="shared" si="19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>
      <c r="A347" s="6"/>
      <c r="B347" s="6"/>
      <c r="C347" s="7"/>
      <c r="D347" s="7" t="str">
        <f t="shared" si="19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>
      <c r="A348" s="6"/>
      <c r="B348" s="6"/>
      <c r="C348" s="7"/>
      <c r="D348" s="7" t="str">
        <f t="shared" si="19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>
      <c r="A349" s="6"/>
      <c r="B349" s="6"/>
      <c r="C349" s="7"/>
      <c r="D349" s="7" t="str">
        <f t="shared" si="19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>
      <c r="A350" s="6"/>
      <c r="B350" s="6"/>
      <c r="C350" s="7"/>
      <c r="D350" s="7" t="str">
        <f t="shared" si="19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>
      <c r="A351" s="6"/>
      <c r="B351" s="6"/>
      <c r="C351" s="7"/>
      <c r="D351" s="7" t="str">
        <f t="shared" si="19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>
      <c r="A352" s="6"/>
      <c r="B352" s="6"/>
      <c r="C352" s="7"/>
      <c r="D352" s="7" t="str">
        <f t="shared" si="19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>
      <c r="A353" s="6"/>
      <c r="B353" s="6"/>
      <c r="C353" s="7"/>
      <c r="D353" s="7" t="str">
        <f t="shared" si="19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>
      <c r="A354" s="6"/>
      <c r="B354" s="6"/>
      <c r="C354" s="7"/>
      <c r="D354" s="7" t="str">
        <f t="shared" si="19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>
      <c r="A355" s="6"/>
      <c r="B355" s="6"/>
      <c r="C355" s="7"/>
      <c r="D355" s="7" t="str">
        <f t="shared" si="19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>
      <c r="A356" s="6"/>
      <c r="B356" s="6"/>
      <c r="C356" s="7"/>
      <c r="D356" s="7" t="str">
        <f t="shared" si="19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>
      <c r="A357" s="6"/>
      <c r="B357" s="6"/>
      <c r="C357" s="7"/>
      <c r="D357" s="7" t="str">
        <f t="shared" si="19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>
      <c r="A358" s="6"/>
      <c r="B358" s="6"/>
      <c r="C358" s="7"/>
      <c r="D358" s="7" t="str">
        <f t="shared" si="19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>
      <c r="A359" s="6"/>
      <c r="B359" s="6"/>
      <c r="C359" s="7"/>
      <c r="D359" s="7" t="str">
        <f t="shared" si="19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>
      <c r="A360" s="6"/>
      <c r="B360" s="6"/>
      <c r="C360" s="7"/>
      <c r="D360" s="7" t="str">
        <f t="shared" si="19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>
      <c r="A361" s="6"/>
      <c r="B361" s="6"/>
      <c r="C361" s="7"/>
      <c r="D361" s="7" t="str">
        <f t="shared" si="19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>
      <c r="A362" s="6"/>
      <c r="B362" s="6"/>
      <c r="C362" s="7"/>
      <c r="D362" s="7" t="str">
        <f t="shared" si="19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>
      <c r="A363" s="6"/>
      <c r="B363" s="6"/>
      <c r="C363" s="7"/>
      <c r="D363" s="7" t="str">
        <f t="shared" si="19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>
      <c r="A364" s="6"/>
      <c r="B364" s="6"/>
      <c r="C364" s="7"/>
      <c r="D364" s="7" t="str">
        <f t="shared" si="19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>
      <c r="A365" s="6"/>
      <c r="B365" s="6"/>
      <c r="C365" s="7"/>
      <c r="D365" s="7" t="str">
        <f t="shared" si="19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>
      <c r="A366" s="6"/>
      <c r="B366" s="6"/>
      <c r="C366" s="7"/>
      <c r="D366" s="7" t="str">
        <f t="shared" si="19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>
      <c r="A367" s="6"/>
      <c r="B367" s="6"/>
      <c r="C367" s="7"/>
      <c r="D367" s="7" t="str">
        <f t="shared" si="19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>
      <c r="A368" s="6"/>
      <c r="B368" s="6"/>
      <c r="C368" s="7"/>
      <c r="D368" s="7" t="str">
        <f t="shared" si="19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>
      <c r="A369" s="6"/>
      <c r="B369" s="6"/>
      <c r="C369" s="7"/>
      <c r="D369" s="7" t="str">
        <f t="shared" si="19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>
      <c r="A370" s="6"/>
      <c r="B370" s="6"/>
      <c r="C370" s="7"/>
      <c r="D370" s="7" t="str">
        <f t="shared" si="19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>
      <c r="A371" s="6"/>
      <c r="B371" s="6"/>
      <c r="C371" s="7"/>
      <c r="D371" s="7" t="str">
        <f t="shared" si="19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>
      <c r="A372" s="6"/>
      <c r="B372" s="6"/>
      <c r="C372" s="7"/>
      <c r="D372" s="7" t="str">
        <f t="shared" si="19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>
      <c r="A373" s="6"/>
      <c r="B373" s="6"/>
      <c r="C373" s="7"/>
      <c r="D373" s="7" t="str">
        <f t="shared" si="19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>
      <c r="A374" s="6"/>
      <c r="B374" s="6"/>
      <c r="C374" s="7"/>
      <c r="D374" s="7" t="str">
        <f t="shared" si="19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>
      <c r="A375" s="6"/>
      <c r="B375" s="6"/>
      <c r="C375" s="7"/>
      <c r="D375" s="7" t="str">
        <f t="shared" si="19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>
      <c r="A376" s="6"/>
      <c r="B376" s="6"/>
      <c r="C376" s="7"/>
      <c r="D376" s="7" t="str">
        <f t="shared" si="19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>
      <c r="A377" s="6"/>
      <c r="B377" s="6"/>
      <c r="C377" s="7"/>
      <c r="D377" s="7" t="str">
        <f t="shared" si="19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>
      <c r="A378" s="6"/>
      <c r="B378" s="6"/>
      <c r="C378" s="7"/>
      <c r="D378" s="7" t="str">
        <f t="shared" si="19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>
      <c r="A379" s="6"/>
      <c r="B379" s="6"/>
      <c r="C379" s="7"/>
      <c r="D379" s="7" t="str">
        <f t="shared" si="19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>
      <c r="A380" s="6"/>
      <c r="B380" s="6"/>
      <c r="C380" s="7"/>
      <c r="D380" s="7" t="str">
        <f t="shared" si="19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>
      <c r="A381" s="6"/>
      <c r="B381" s="6"/>
      <c r="C381" s="7"/>
      <c r="D381" s="7" t="str">
        <f t="shared" si="19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>
      <c r="A382" s="6"/>
      <c r="B382" s="6"/>
      <c r="C382" s="7"/>
      <c r="D382" s="7" t="str">
        <f t="shared" si="19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>
      <c r="A383" s="6"/>
      <c r="B383" s="6"/>
      <c r="C383" s="7"/>
      <c r="D383" s="7" t="str">
        <f t="shared" si="19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>
      <c r="A384" s="6"/>
      <c r="B384" s="6"/>
      <c r="C384" s="7"/>
      <c r="D384" s="7" t="str">
        <f t="shared" si="19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>
      <c r="A385" s="6"/>
      <c r="B385" s="6"/>
      <c r="C385" s="7"/>
      <c r="D385" s="7" t="str">
        <f t="shared" si="19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>
      <c r="A386" s="6"/>
      <c r="B386" s="6"/>
      <c r="C386" s="7"/>
      <c r="D386" s="7" t="str">
        <f t="shared" si="19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>
      <c r="A387" s="6"/>
      <c r="B387" s="6"/>
      <c r="C387" s="7"/>
      <c r="D387" s="7" t="str">
        <f t="shared" si="19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>
      <c r="A388" s="6"/>
      <c r="B388" s="6"/>
      <c r="C388" s="7"/>
      <c r="D388" s="7" t="str">
        <f t="shared" si="19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>
      <c r="A389" s="6"/>
      <c r="B389" s="6"/>
      <c r="C389" s="7"/>
      <c r="D389" s="7" t="str">
        <f t="shared" ref="D389:D452" si="20">IF(OR(C389="",E389=""),"-",WORKDAY(C389,E389-1,Holiday_Dates))</f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>
      <c r="A390" s="6"/>
      <c r="B390" s="6"/>
      <c r="C390" s="7"/>
      <c r="D390" s="7" t="str">
        <f t="shared" si="20"/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>
      <c r="A391" s="6"/>
      <c r="B391" s="6"/>
      <c r="C391" s="7"/>
      <c r="D391" s="7" t="str">
        <f t="shared" si="20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>
      <c r="A392" s="6"/>
      <c r="B392" s="6"/>
      <c r="C392" s="7"/>
      <c r="D392" s="7" t="str">
        <f t="shared" si="20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>
      <c r="A393" s="6"/>
      <c r="B393" s="6"/>
      <c r="C393" s="7"/>
      <c r="D393" s="7" t="str">
        <f t="shared" si="20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>
      <c r="A394" s="6"/>
      <c r="B394" s="6"/>
      <c r="C394" s="7"/>
      <c r="D394" s="7" t="str">
        <f t="shared" si="20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>
      <c r="A395" s="6"/>
      <c r="B395" s="6"/>
      <c r="C395" s="7"/>
      <c r="D395" s="7" t="str">
        <f t="shared" si="20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>
      <c r="A396" s="6"/>
      <c r="B396" s="6"/>
      <c r="C396" s="7"/>
      <c r="D396" s="7" t="str">
        <f t="shared" si="20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>
      <c r="A397" s="6"/>
      <c r="B397" s="6"/>
      <c r="C397" s="7"/>
      <c r="D397" s="7" t="str">
        <f t="shared" si="20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>
      <c r="A398" s="6"/>
      <c r="B398" s="6"/>
      <c r="C398" s="7"/>
      <c r="D398" s="7" t="str">
        <f t="shared" si="20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>
      <c r="A399" s="6"/>
      <c r="B399" s="6"/>
      <c r="C399" s="7"/>
      <c r="D399" s="7" t="str">
        <f t="shared" si="20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>
      <c r="A400" s="6"/>
      <c r="B400" s="6"/>
      <c r="C400" s="7"/>
      <c r="D400" s="7" t="str">
        <f t="shared" si="20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>
      <c r="A401" s="6"/>
      <c r="B401" s="6"/>
      <c r="C401" s="7"/>
      <c r="D401" s="7" t="str">
        <f t="shared" si="20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>
      <c r="A402" s="6"/>
      <c r="B402" s="6"/>
      <c r="C402" s="7"/>
      <c r="D402" s="7" t="str">
        <f t="shared" si="20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>
      <c r="A403" s="6"/>
      <c r="B403" s="6"/>
      <c r="C403" s="7"/>
      <c r="D403" s="7" t="str">
        <f t="shared" si="20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>
      <c r="A404" s="6"/>
      <c r="B404" s="6"/>
      <c r="C404" s="7"/>
      <c r="D404" s="7" t="str">
        <f t="shared" si="20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>
      <c r="A405" s="6"/>
      <c r="B405" s="6"/>
      <c r="C405" s="7"/>
      <c r="D405" s="7" t="str">
        <f t="shared" si="20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>
      <c r="A406" s="6"/>
      <c r="B406" s="6"/>
      <c r="C406" s="7"/>
      <c r="D406" s="7" t="str">
        <f t="shared" si="20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>
      <c r="A407" s="6"/>
      <c r="B407" s="6"/>
      <c r="C407" s="7"/>
      <c r="D407" s="7" t="str">
        <f t="shared" si="20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>
      <c r="A408" s="6"/>
      <c r="B408" s="6"/>
      <c r="C408" s="7"/>
      <c r="D408" s="7" t="str">
        <f t="shared" si="20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>
      <c r="A409" s="6"/>
      <c r="B409" s="6"/>
      <c r="C409" s="7"/>
      <c r="D409" s="7" t="str">
        <f t="shared" si="20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>
      <c r="A410" s="6"/>
      <c r="B410" s="6"/>
      <c r="C410" s="7"/>
      <c r="D410" s="7" t="str">
        <f t="shared" si="20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>
      <c r="A411" s="6"/>
      <c r="B411" s="6"/>
      <c r="C411" s="7"/>
      <c r="D411" s="7" t="str">
        <f t="shared" si="20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>
      <c r="A412" s="6"/>
      <c r="B412" s="6"/>
      <c r="C412" s="7"/>
      <c r="D412" s="7" t="str">
        <f t="shared" si="20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>
      <c r="A413" s="6"/>
      <c r="B413" s="6"/>
      <c r="C413" s="7"/>
      <c r="D413" s="7" t="str">
        <f t="shared" si="20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>
      <c r="A414" s="6"/>
      <c r="B414" s="6"/>
      <c r="C414" s="7"/>
      <c r="D414" s="7" t="str">
        <f t="shared" si="20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>
      <c r="A415" s="6"/>
      <c r="B415" s="6"/>
      <c r="C415" s="7"/>
      <c r="D415" s="7" t="str">
        <f t="shared" si="20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>
      <c r="A416" s="6"/>
      <c r="B416" s="6"/>
      <c r="C416" s="7"/>
      <c r="D416" s="7" t="str">
        <f t="shared" si="20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>
      <c r="A417" s="6"/>
      <c r="B417" s="6"/>
      <c r="C417" s="7"/>
      <c r="D417" s="7" t="str">
        <f t="shared" si="20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>
      <c r="A418" s="6"/>
      <c r="B418" s="6"/>
      <c r="C418" s="7"/>
      <c r="D418" s="7" t="str">
        <f t="shared" si="20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>
      <c r="A419" s="6"/>
      <c r="B419" s="6"/>
      <c r="C419" s="7"/>
      <c r="D419" s="7" t="str">
        <f t="shared" si="20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>
      <c r="A420" s="6"/>
      <c r="B420" s="6"/>
      <c r="C420" s="7"/>
      <c r="D420" s="7" t="str">
        <f t="shared" si="20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>
      <c r="A421" s="6"/>
      <c r="B421" s="6"/>
      <c r="C421" s="7"/>
      <c r="D421" s="7" t="str">
        <f t="shared" si="20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>
      <c r="A422" s="6"/>
      <c r="B422" s="6"/>
      <c r="C422" s="7"/>
      <c r="D422" s="7" t="str">
        <f t="shared" si="20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>
      <c r="A423" s="6"/>
      <c r="B423" s="6"/>
      <c r="C423" s="7"/>
      <c r="D423" s="7" t="str">
        <f t="shared" si="20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>
      <c r="A424" s="6"/>
      <c r="B424" s="6"/>
      <c r="C424" s="7"/>
      <c r="D424" s="7" t="str">
        <f t="shared" si="20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>
      <c r="A425" s="6"/>
      <c r="B425" s="6"/>
      <c r="C425" s="7"/>
      <c r="D425" s="7" t="str">
        <f t="shared" si="20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>
      <c r="A426" s="6"/>
      <c r="B426" s="6"/>
      <c r="C426" s="7"/>
      <c r="D426" s="7" t="str">
        <f t="shared" si="20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>
      <c r="A427" s="6"/>
      <c r="B427" s="6"/>
      <c r="C427" s="7"/>
      <c r="D427" s="7" t="str">
        <f t="shared" si="20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>
      <c r="A428" s="6"/>
      <c r="B428" s="6"/>
      <c r="C428" s="7"/>
      <c r="D428" s="7" t="str">
        <f t="shared" si="20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>
      <c r="A429" s="6"/>
      <c r="B429" s="6"/>
      <c r="C429" s="7"/>
      <c r="D429" s="7" t="str">
        <f t="shared" si="20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>
      <c r="A430" s="6"/>
      <c r="B430" s="6"/>
      <c r="C430" s="7"/>
      <c r="D430" s="7" t="str">
        <f t="shared" si="20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>
      <c r="A431" s="6"/>
      <c r="B431" s="6"/>
      <c r="C431" s="7"/>
      <c r="D431" s="7" t="str">
        <f t="shared" si="20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>
      <c r="A432" s="6"/>
      <c r="B432" s="6"/>
      <c r="C432" s="7"/>
      <c r="D432" s="7" t="str">
        <f t="shared" si="20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>
      <c r="A433" s="6"/>
      <c r="B433" s="6"/>
      <c r="C433" s="7"/>
      <c r="D433" s="7" t="str">
        <f t="shared" si="20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>
      <c r="A434" s="6"/>
      <c r="B434" s="6"/>
      <c r="C434" s="7"/>
      <c r="D434" s="7" t="str">
        <f t="shared" si="20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>
      <c r="A435" s="6"/>
      <c r="B435" s="6"/>
      <c r="C435" s="7"/>
      <c r="D435" s="7" t="str">
        <f t="shared" si="20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>
      <c r="A436" s="6"/>
      <c r="B436" s="6"/>
      <c r="C436" s="7"/>
      <c r="D436" s="7" t="str">
        <f t="shared" si="20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>
      <c r="A437" s="6"/>
      <c r="B437" s="6"/>
      <c r="C437" s="7"/>
      <c r="D437" s="7" t="str">
        <f t="shared" si="20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>
      <c r="A438" s="6"/>
      <c r="B438" s="6"/>
      <c r="C438" s="7"/>
      <c r="D438" s="7" t="str">
        <f t="shared" si="20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>
      <c r="A439" s="6"/>
      <c r="B439" s="6"/>
      <c r="C439" s="7"/>
      <c r="D439" s="7" t="str">
        <f t="shared" si="20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>
      <c r="A440" s="6"/>
      <c r="B440" s="6"/>
      <c r="C440" s="7"/>
      <c r="D440" s="7" t="str">
        <f t="shared" si="20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>
      <c r="A441" s="6"/>
      <c r="B441" s="6"/>
      <c r="C441" s="7"/>
      <c r="D441" s="7" t="str">
        <f t="shared" si="20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>
      <c r="A442" s="6"/>
      <c r="B442" s="6"/>
      <c r="C442" s="7"/>
      <c r="D442" s="7" t="str">
        <f t="shared" si="20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>
      <c r="A443" s="6"/>
      <c r="B443" s="6"/>
      <c r="C443" s="7"/>
      <c r="D443" s="7" t="str">
        <f t="shared" si="20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>
      <c r="A444" s="6"/>
      <c r="B444" s="6"/>
      <c r="C444" s="7"/>
      <c r="D444" s="7" t="str">
        <f t="shared" si="20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>
      <c r="A445" s="6"/>
      <c r="B445" s="6"/>
      <c r="C445" s="7"/>
      <c r="D445" s="7" t="str">
        <f t="shared" si="20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>
      <c r="A446" s="6"/>
      <c r="B446" s="6"/>
      <c r="C446" s="7"/>
      <c r="D446" s="7" t="str">
        <f t="shared" si="20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>
      <c r="A447" s="6"/>
      <c r="B447" s="6"/>
      <c r="C447" s="7"/>
      <c r="D447" s="7" t="str">
        <f t="shared" si="20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>
      <c r="A448" s="6"/>
      <c r="B448" s="6"/>
      <c r="C448" s="7"/>
      <c r="D448" s="7" t="str">
        <f t="shared" si="20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>
      <c r="A449" s="6"/>
      <c r="B449" s="6"/>
      <c r="C449" s="7"/>
      <c r="D449" s="7" t="str">
        <f t="shared" si="20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>
      <c r="A450" s="6"/>
      <c r="B450" s="6"/>
      <c r="C450" s="7"/>
      <c r="D450" s="7" t="str">
        <f t="shared" si="20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>
      <c r="A451" s="6"/>
      <c r="B451" s="6"/>
      <c r="C451" s="7"/>
      <c r="D451" s="7" t="str">
        <f t="shared" si="20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>
      <c r="A452" s="6"/>
      <c r="B452" s="6"/>
      <c r="C452" s="7"/>
      <c r="D452" s="7" t="str">
        <f t="shared" si="20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>
      <c r="A453" s="6"/>
      <c r="B453" s="6"/>
      <c r="C453" s="7"/>
      <c r="D453" s="7" t="str">
        <f t="shared" ref="D453" si="21">IF(OR(C453="",E453=""),"-",WORKDAY(C453,E453-1,Holiday_Dates))</f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6" priority="5" operator="equal">
      <formula>"Discard"</formula>
    </cfRule>
    <cfRule type="cellIs" dxfId="5" priority="6" operator="equal">
      <formula>"Done"</formula>
    </cfRule>
    <cfRule type="cellIs" dxfId="4" priority="7" operator="equal">
      <formula>"In Progress"</formula>
    </cfRule>
  </conditionalFormatting>
  <conditionalFormatting sqref="J3:AY4">
    <cfRule type="expression" dxfId="3" priority="1">
      <formula>MATCH(J$3,Holiday_Dates,0)</formula>
    </cfRule>
  </conditionalFormatting>
  <conditionalFormatting sqref="J3:AY453">
    <cfRule type="expression" dxfId="2" priority="3">
      <formula>J$3=TODAY()</formula>
    </cfRule>
  </conditionalFormatting>
  <conditionalFormatting sqref="J5:AY453">
    <cfRule type="expression" dxfId="1" priority="2">
      <formula>AND(NETWORKDAYS(J$3,J$3,Holiday_Dates)=0, NOT(J$3=Special_Workdays))</formula>
    </cfRule>
  </conditionalFormatting>
  <conditionalFormatting sqref="J5:AY454">
    <cfRule type="expression" dxfId="0" priority="4">
      <formula>AND(J$3&gt;=$C5,J$3&lt;=$D5,NOT($D5="-"))</formula>
    </cfRule>
  </conditionalFormatting>
  <dataValidations count="2">
    <dataValidation type="list" allowBlank="1" showInputMessage="1" showErrorMessage="1" sqref="F5:F1048576" xr:uid="{97413B57-740A-4DA3-9C3F-EC17CEFD3442}">
      <formula1>"Not Start,In Progress, Done, Discard"</formula1>
    </dataValidation>
    <dataValidation type="list" allowBlank="1" showInputMessage="1" showErrorMessage="1" sqref="A5:A71" xr:uid="{A8BF91AE-6837-4FFA-BEEA-6189AB5CBECB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16</xdr:col>
                    <xdr:colOff>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63CA80-288A-48FE-90CA-85C0E1CCE78D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80AFC-242B-4103-AE5D-9A396655E39E}">
  <sheetPr codeName="Sheet7">
    <tabColor rgb="FF92D050"/>
  </sheetPr>
  <dimension ref="A1:C30"/>
  <sheetViews>
    <sheetView workbookViewId="0">
      <selection activeCell="I36" sqref="I36"/>
    </sheetView>
  </sheetViews>
  <sheetFormatPr defaultRowHeight="14.4"/>
  <cols>
    <col min="1" max="1" width="13.33203125" bestFit="1" customWidth="1"/>
    <col min="2" max="2" width="15" customWidth="1"/>
    <col min="3" max="3" width="13.88671875" customWidth="1"/>
  </cols>
  <sheetData>
    <row r="1" spans="1:3" ht="21">
      <c r="A1" s="37" t="s">
        <v>83</v>
      </c>
      <c r="B1" s="37"/>
    </row>
    <row r="2" spans="1:3" ht="15.6">
      <c r="A2" s="38" t="s">
        <v>74</v>
      </c>
      <c r="B2" s="38" t="s">
        <v>84</v>
      </c>
      <c r="C2" s="38" t="s">
        <v>75</v>
      </c>
    </row>
    <row r="3" spans="1:3">
      <c r="A3">
        <v>45658</v>
      </c>
      <c r="C3" t="s">
        <v>76</v>
      </c>
    </row>
    <row r="4" spans="1:3">
      <c r="A4">
        <v>45685</v>
      </c>
      <c r="B4">
        <v>45683</v>
      </c>
      <c r="C4" t="s">
        <v>77</v>
      </c>
    </row>
    <row r="5" spans="1:3">
      <c r="A5">
        <v>45686</v>
      </c>
      <c r="B5">
        <v>45696</v>
      </c>
      <c r="C5" t="s">
        <v>77</v>
      </c>
    </row>
    <row r="6" spans="1:3">
      <c r="A6">
        <v>45687</v>
      </c>
      <c r="C6" t="s">
        <v>77</v>
      </c>
    </row>
    <row r="7" spans="1:3">
      <c r="A7">
        <v>45688</v>
      </c>
      <c r="C7" t="s">
        <v>77</v>
      </c>
    </row>
    <row r="8" spans="1:3">
      <c r="A8">
        <v>45689</v>
      </c>
      <c r="C8" t="s">
        <v>77</v>
      </c>
    </row>
    <row r="9" spans="1:3">
      <c r="A9">
        <v>45690</v>
      </c>
      <c r="C9" t="s">
        <v>77</v>
      </c>
    </row>
    <row r="10" spans="1:3">
      <c r="A10">
        <v>45691</v>
      </c>
      <c r="C10" t="s">
        <v>77</v>
      </c>
    </row>
    <row r="11" spans="1:3">
      <c r="A11">
        <v>45692</v>
      </c>
      <c r="C11" t="s">
        <v>77</v>
      </c>
    </row>
    <row r="12" spans="1:3">
      <c r="A12">
        <v>45751</v>
      </c>
      <c r="C12" t="s">
        <v>78</v>
      </c>
    </row>
    <row r="13" spans="1:3">
      <c r="A13">
        <v>45752</v>
      </c>
      <c r="C13" t="s">
        <v>78</v>
      </c>
    </row>
    <row r="14" spans="1:3">
      <c r="A14">
        <v>45753</v>
      </c>
      <c r="C14" t="s">
        <v>78</v>
      </c>
    </row>
    <row r="15" spans="1:3">
      <c r="A15">
        <v>45778</v>
      </c>
      <c r="B15">
        <v>45774</v>
      </c>
      <c r="C15" t="s">
        <v>79</v>
      </c>
    </row>
    <row r="16" spans="1:3">
      <c r="A16">
        <v>45779</v>
      </c>
      <c r="C16" t="s">
        <v>79</v>
      </c>
    </row>
    <row r="17" spans="1:3">
      <c r="A17">
        <v>45780</v>
      </c>
      <c r="C17" t="s">
        <v>79</v>
      </c>
    </row>
    <row r="18" spans="1:3">
      <c r="A18">
        <v>45781</v>
      </c>
      <c r="C18" t="s">
        <v>79</v>
      </c>
    </row>
    <row r="19" spans="1:3">
      <c r="A19">
        <v>45782</v>
      </c>
      <c r="C19" t="s">
        <v>79</v>
      </c>
    </row>
    <row r="20" spans="1:3">
      <c r="A20">
        <v>45808</v>
      </c>
      <c r="C20" t="s">
        <v>80</v>
      </c>
    </row>
    <row r="21" spans="1:3">
      <c r="A21">
        <v>45809</v>
      </c>
      <c r="C21" t="s">
        <v>80</v>
      </c>
    </row>
    <row r="22" spans="1:3">
      <c r="A22">
        <v>45810</v>
      </c>
      <c r="C22" t="s">
        <v>80</v>
      </c>
    </row>
    <row r="23" spans="1:3">
      <c r="A23">
        <v>45931</v>
      </c>
      <c r="B23">
        <v>45928</v>
      </c>
      <c r="C23" t="s">
        <v>81</v>
      </c>
    </row>
    <row r="24" spans="1:3">
      <c r="A24">
        <v>45932</v>
      </c>
      <c r="B24">
        <v>45941</v>
      </c>
      <c r="C24" t="s">
        <v>81</v>
      </c>
    </row>
    <row r="25" spans="1:3">
      <c r="A25">
        <v>45933</v>
      </c>
      <c r="C25" t="s">
        <v>81</v>
      </c>
    </row>
    <row r="26" spans="1:3">
      <c r="A26">
        <v>45934</v>
      </c>
      <c r="C26" t="s">
        <v>81</v>
      </c>
    </row>
    <row r="27" spans="1:3">
      <c r="A27">
        <v>45935</v>
      </c>
      <c r="C27" t="s">
        <v>81</v>
      </c>
    </row>
    <row r="28" spans="1:3">
      <c r="A28">
        <v>45936</v>
      </c>
      <c r="C28" t="s">
        <v>82</v>
      </c>
    </row>
    <row r="29" spans="1:3">
      <c r="A29">
        <v>45937</v>
      </c>
      <c r="C29" t="s">
        <v>81</v>
      </c>
    </row>
    <row r="30" spans="1:3">
      <c r="A30">
        <v>45938</v>
      </c>
      <c r="C30" t="s">
        <v>81</v>
      </c>
    </row>
  </sheetData>
  <phoneticPr fontId="2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g877ac27b5a043bfabb40c206d1d5836 xmlns="7213439c-79ae-4aac-ab78-549a3299dcb4">
      <Terms xmlns="http://schemas.microsoft.com/office/infopath/2007/PartnerControls"/>
    </g877ac27b5a043bfabb40c206d1d5836>
    <n3b7cdc4b86546858f2634baecd8f739 xmlns="7213439c-79ae-4aac-ab78-549a3299dcb4">
      <Terms xmlns="http://schemas.microsoft.com/office/infopath/2007/PartnerControls"/>
    </n3b7cdc4b86546858f2634baecd8f739>
    <m85d8a6fdb684f1bb39c391ec8a5dda2 xmlns="7213439c-79ae-4aac-ab78-549a3299dcb4">
      <Terms xmlns="http://schemas.microsoft.com/office/infopath/2007/PartnerControls"/>
    </m85d8a6fdb684f1bb39c391ec8a5dda2>
    <TaxCatchAll xmlns="7213439c-79ae-4aac-ab78-549a3299dcb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2411F13D8714DB40C71BEC5D15CAD" ma:contentTypeVersion="20" ma:contentTypeDescription="Create a new document." ma:contentTypeScope="" ma:versionID="9167526bb3c3990ed483b13befc4fe73">
  <xsd:schema xmlns:xsd="http://www.w3.org/2001/XMLSchema" xmlns:xs="http://www.w3.org/2001/XMLSchema" xmlns:p="http://schemas.microsoft.com/office/2006/metadata/properties" xmlns:ns2="7213439c-79ae-4aac-ab78-549a3299dcb4" xmlns:ns3="cbce3e20-dbb2-4a89-846b-34c82f56ad7f" xmlns:ns4="ddd66e89-3a77-45d3-9688-4a45adcf340e" targetNamespace="http://schemas.microsoft.com/office/2006/metadata/properties" ma:root="true" ma:fieldsID="91aa9ef4b10d56ae33edb88b4ef1b70e" ns2:_="" ns3:_="" ns4:_="">
    <xsd:import namespace="7213439c-79ae-4aac-ab78-549a3299dcb4"/>
    <xsd:import namespace="cbce3e20-dbb2-4a89-846b-34c82f56ad7f"/>
    <xsd:import namespace="ddd66e89-3a77-45d3-9688-4a45adcf340e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g877ac27b5a043bfabb40c206d1d5836" minOccurs="0"/>
                <xsd:element ref="ns2:m85d8a6fdb684f1bb39c391ec8a5dda2" minOccurs="0"/>
                <xsd:element ref="ns2:n3b7cdc4b86546858f2634baecd8f739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13439c-79ae-4aac-ab78-549a3299dcb4" elementFormDefault="qualified">
    <xsd:import namespace="http://schemas.microsoft.com/office/2006/documentManagement/types"/>
    <xsd:import namespace="http://schemas.microsoft.com/office/infopath/2007/PartnerControls"/>
    <xsd:element name="TaxCatchAll" ma:index="2" nillable="true" ma:displayName="Taxonomy Catch All Column" ma:description="" ma:hidden="true" ma:list="{a26a5762-0483-4ba1-b7fc-f9af98eeeb34}" ma:internalName="TaxCatchAll" ma:showField="CatchAllData" ma:web="81daf01f-5052-4208-8783-842ace3948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3" nillable="true" ma:displayName="Taxonomy Catch All Column1" ma:description="" ma:hidden="true" ma:list="{a26a5762-0483-4ba1-b7fc-f9af98eeeb34}" ma:internalName="TaxCatchAllLabel" ma:readOnly="true" ma:showField="CatchAllDataLabel" ma:web="81daf01f-5052-4208-8783-842ace3948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g877ac27b5a043bfabb40c206d1d5836" ma:index="13" nillable="true" ma:taxonomy="true" ma:internalName="g877ac27b5a043bfabb40c206d1d5836" ma:taxonomyFieldName="emm_Division" ma:displayName="emm_Division" ma:readOnly="false" ma:default="" ma:fieldId="{0877ac27-b5a0-43bf-abb4-0c206d1d5836}" ma:sspId="e8e00a27-0547-490c-b4b1-fa23aacf6e69" ma:termSetId="5dde4a48-55d5-4c0a-9779-582059f53b1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85d8a6fdb684f1bb39c391ec8a5dda2" ma:index="14" nillable="true" ma:taxonomy="true" ma:internalName="m85d8a6fdb684f1bb39c391ec8a5dda2" ma:taxonomyFieldName="emm_Function" ma:displayName="emm_Function" ma:readOnly="false" ma:default="" ma:fieldId="{685d8a6f-db68-4f1b-b39c-391ec8a5dda2}" ma:sspId="e8e00a27-0547-490c-b4b1-fa23aacf6e69" ma:termSetId="2cdd7b0f-fc41-4bc0-b507-1083be529d1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3b7cdc4b86546858f2634baecd8f739" ma:index="15" nillable="true" ma:taxonomy="true" ma:internalName="n3b7cdc4b86546858f2634baecd8f739" ma:taxonomyFieldName="emm_Language" ma:displayName="emm_Language" ma:readOnly="false" ma:default="" ma:fieldId="{73b7cdc4-b865-4685-8f26-34baecd8f739}" ma:sspId="e8e00a27-0547-490c-b4b1-fa23aacf6e69" ma:termSetId="628d4a0e-43e1-471b-bfbd-4dccf339dc9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ce3e20-dbb2-4a89-846b-34c82f56ad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3" nillable="true" ma:displayName="Tags" ma:internalName="MediaServiceAutoTags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66e89-3a77-45d3-9688-4a45adcf340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 xmlns="">
    <Name>ItemUpdatedEventHandlerForConceptSearch</Name>
    <Synchronization>Asynchronous</Synchronization>
    <Type>10002</Type>
    <SequenceNumber>10001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ItemUpdatingEventHandlerForConceptSearch</Name>
    <Synchronization>Synchronous</Synchronization>
    <Type>2</Type>
    <SequenceNumber>10001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ItemCheckedInEventHandlerForConceptSearch</Name>
    <Synchronization>Asynchronous</Synchronization>
    <Type>10004</Type>
    <SequenceNumber>10002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ItemUncheckedOutEventHandlerForConceptSearch</Name>
    <Synchronization>Asynchronous</Synchronization>
    <Type>10006</Type>
    <SequenceNumber>10003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ItemAddedEventHandlerForConceptSearch</Name>
    <Synchronization>Asynchronous</Synchronization>
    <Type>10001</Type>
    <SequenceNumber>10004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ItemFileMovedEventHandlerForConceptSearch</Name>
    <Synchronization>Asynchronous</Synchronization>
    <Type>10009</Type>
    <SequenceNumber>10005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ItemDeletedEventHandlerForConceptSearch</Name>
    <Synchronization>Asynchronous</Synchronization>
    <Type>10003</Type>
    <SequenceNumber>10006</SequenceNumber>
    <Assembly>conceptSearching.Sharepoint.ContentTypes2010, Version=1.0.0.0, Culture=neutral, PublicKeyToken=858f8f13980e4745</Assembly>
    <Class>conceptSearching.Sharepoint.ContentTypes2010.CSHandleEvent</Class>
    <Data/>
    <Filter/>
  </Receiver>
</spe:Receivers>
</file>

<file path=customXml/item5.xml><?xml version="1.0" encoding="utf-8"?>
<?mso-contentType ?>
<SharedContentType xmlns="Microsoft.SharePoint.Taxonomy.ContentTypeSync" SourceId="cf713c62-fdf9-4ba1-a9c8-920b71b66035" ContentTypeId="0x01" PreviousValue="false"/>
</file>

<file path=customXml/itemProps1.xml><?xml version="1.0" encoding="utf-8"?>
<ds:datastoreItem xmlns:ds="http://schemas.openxmlformats.org/officeDocument/2006/customXml" ds:itemID="{7C5EB26D-CA94-446C-B67D-334E9AD79F8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15009F-B2E9-4CC1-9C75-39910FFA8DDE}">
  <ds:schemaRefs>
    <ds:schemaRef ds:uri="http://schemas.microsoft.com/office/2006/metadata/properties"/>
    <ds:schemaRef ds:uri="http://schemas.microsoft.com/office/infopath/2007/PartnerControls"/>
    <ds:schemaRef ds:uri="7213439c-79ae-4aac-ab78-549a3299dcb4"/>
  </ds:schemaRefs>
</ds:datastoreItem>
</file>

<file path=customXml/itemProps3.xml><?xml version="1.0" encoding="utf-8"?>
<ds:datastoreItem xmlns:ds="http://schemas.openxmlformats.org/officeDocument/2006/customXml" ds:itemID="{5DE4E078-D834-465C-A7C3-ECBFDFB50D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13439c-79ae-4aac-ab78-549a3299dcb4"/>
    <ds:schemaRef ds:uri="cbce3e20-dbb2-4a89-846b-34c82f56ad7f"/>
    <ds:schemaRef ds:uri="ddd66e89-3a77-45d3-9688-4a45adcf34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CF85791-1889-47EB-A7B6-6B9C1291B701}">
  <ds:schemaRefs>
    <ds:schemaRef ds:uri="http://schemas.microsoft.com/sharepoint/events"/>
    <ds:schemaRef ds:uri=""/>
  </ds:schemaRefs>
</ds:datastoreItem>
</file>

<file path=customXml/itemProps5.xml><?xml version="1.0" encoding="utf-8"?>
<ds:datastoreItem xmlns:ds="http://schemas.openxmlformats.org/officeDocument/2006/customXml" ds:itemID="{5A86303C-78BB-43C0-998C-5B5405A8F1BB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Project Management</vt:lpstr>
      <vt:lpstr>PZDRW Team Members</vt:lpstr>
      <vt:lpstr>E-Compressor</vt:lpstr>
      <vt:lpstr>E-CoolingPump</vt:lpstr>
      <vt:lpstr>E-CoolingFan</vt:lpstr>
      <vt:lpstr>OBC&amp;DCLV</vt:lpstr>
      <vt:lpstr>Bootloader</vt:lpstr>
      <vt:lpstr>Functional Safety</vt:lpstr>
      <vt:lpstr>CyberSecurity</vt:lpstr>
      <vt:lpstr>Toolchain</vt:lpstr>
      <vt:lpstr>Main_Task</vt:lpstr>
      <vt:lpstr>Holidays &amp; Special Days</vt:lpstr>
      <vt:lpstr>Display_Week_36CC_Platform</vt:lpstr>
      <vt:lpstr>Display_Week_Honda28M</vt:lpstr>
      <vt:lpstr>Display_Week_Non_Project</vt:lpstr>
      <vt:lpstr>Display_Week_VW_IMP21</vt:lpstr>
      <vt:lpstr>Holiday_Dates</vt:lpstr>
      <vt:lpstr>Owner</vt:lpstr>
      <vt:lpstr>Project_Start</vt:lpstr>
      <vt:lpstr>Special_Workdays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Zhang</dc:creator>
  <cp:lastModifiedBy>Lilong Xu</cp:lastModifiedBy>
  <dcterms:created xsi:type="dcterms:W3CDTF">2019-05-15T06:08:21Z</dcterms:created>
  <dcterms:modified xsi:type="dcterms:W3CDTF">2025-08-26T08:29:44Z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0x0101003F42411F13D8714DB40C71BEC5D15CAD</vt:lpwstr>
  </property>
  <property fmtid="{D5CDD505-2E9C-101B-9397-08002B2CF9AE}" pid="3" name="MSIP_Label_31a97dba-4a48-4678-b18f-3391b0053218_Enabled">
    <vt:lpwstr>true</vt:lpwstr>
  </property>
  <property fmtid="{D5CDD505-2E9C-101B-9397-08002B2CF9AE}" pid="4" name="MSIP_Label_31a97dba-4a48-4678-b18f-3391b0053218_SetDate">
    <vt:lpwstr>2025-07-15T08:48:09Z</vt:lpwstr>
  </property>
  <property fmtid="{D5CDD505-2E9C-101B-9397-08002B2CF9AE}" pid="5" name="MSIP_Label_31a97dba-4a48-4678-b18f-3391b0053218_Method">
    <vt:lpwstr>Standard</vt:lpwstr>
  </property>
  <property fmtid="{D5CDD505-2E9C-101B-9397-08002B2CF9AE}" pid="6" name="MSIP_Label_31a97dba-4a48-4678-b18f-3391b0053218_Name">
    <vt:lpwstr>MAHLE internal restricted (CL2)</vt:lpwstr>
  </property>
  <property fmtid="{D5CDD505-2E9C-101B-9397-08002B2CF9AE}" pid="7" name="MSIP_Label_31a97dba-4a48-4678-b18f-3391b0053218_SiteId">
    <vt:lpwstr>e396b7c6-05f6-47d7-bef7-e89a9de9fd6c</vt:lpwstr>
  </property>
  <property fmtid="{D5CDD505-2E9C-101B-9397-08002B2CF9AE}" pid="8" name="MSIP_Label_31a97dba-4a48-4678-b18f-3391b0053218_ActionId">
    <vt:lpwstr>254ae04d-1e08-461a-a13b-b78c871a129f</vt:lpwstr>
  </property>
  <property fmtid="{D5CDD505-2E9C-101B-9397-08002B2CF9AE}" pid="9" name="MSIP_Label_31a97dba-4a48-4678-b18f-3391b0053218_ContentBits">
    <vt:lpwstr>2</vt:lpwstr>
  </property>
  <property fmtid="{D5CDD505-2E9C-101B-9397-08002B2CF9AE}" pid="10" name="MSIP_Label_31a97dba-4a48-4678-b18f-3391b0053218_Tag">
    <vt:lpwstr>10, 3, 0, 1</vt:lpwstr>
  </property>
</Properties>
</file>